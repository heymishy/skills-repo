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rpus Evidence" sheetId="2" state="visible" r:id="rId4"/>
    <sheet name="Token Pricing Sensitivity" sheetId="3" state="visible" r:id="rId5"/>
    <sheet name="Scenarios" sheetId="4" state="visible" r:id="rId6"/>
    <sheet name="Breakeven Analysis" sheetId="5" state="visible" r:id="rId7"/>
    <sheet name="Fleet Scale" sheetId="6" state="visible" r:id="rId8"/>
    <sheet name="Commercialisation Economics" sheetId="7" state="visible" r:id="rId9"/>
    <sheet name="Hidden Cost of Dela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Westpac NZ baseline</t>
        </r>
      </text>
    </comment>
    <comment ref="B8" authorId="0">
      <text>
        <r>
          <rPr>
            <sz val="10"/>
            <rFont val="Arial"/>
            <family val="2"/>
          </rPr>
          <t xml:space="preserve">Avg velocity across 50 teams</t>
        </r>
      </text>
    </comment>
    <comment ref="B9" authorId="0">
      <text>
        <r>
          <rPr>
            <sz val="10"/>
            <rFont val="Arial"/>
            <family val="2"/>
          </rPr>
          <t xml:space="preserve">% of stories requiring full discovery→DoR</t>
        </r>
      </text>
    </comment>
    <comment ref="B10" authorId="0">
      <text>
        <r>
          <rPr>
            <sz val="10"/>
            <rFont val="Arial"/>
            <family val="2"/>
          </rPr>
          <t xml:space="preserve">Blended internal cost</t>
        </r>
      </text>
    </comment>
    <comment ref="B11" authorId="0">
      <text>
        <r>
          <rPr>
            <sz val="10"/>
            <rFont val="Arial"/>
            <family val="2"/>
          </rPr>
          <t xml:space="preserve">Oncosts, tooling, management overhead</t>
        </r>
      </text>
    </comment>
    <comment ref="B28" authorId="0">
      <text>
        <r>
          <rPr>
            <sz val="10"/>
            <rFont val="Arial"/>
            <family val="2"/>
          </rPr>
          <t xml:space="preserve">Discovery, writing benefit metric</t>
        </r>
      </text>
    </comment>
    <comment ref="B29" authorId="0">
      <text>
        <r>
          <rPr>
            <sz val="10"/>
            <rFont val="Arial"/>
            <family val="2"/>
          </rPr>
          <t xml:space="preserve">Architecture review, spike spike sizing</t>
        </r>
      </text>
    </comment>
    <comment ref="B30" authorId="0">
      <text>
        <r>
          <rPr>
            <sz val="10"/>
            <rFont val="Arial"/>
            <family val="2"/>
          </rPr>
          <t xml:space="preserve">Avg meeting time per story across attendees</t>
        </r>
      </text>
    </comment>
    <comment ref="B31" authorId="0">
      <text>
        <r>
          <rPr>
            <sz val="10"/>
            <rFont val="Arial"/>
            <family val="2"/>
          </rPr>
          <t xml:space="preserve">Chasing missing AC, re-refinement</t>
        </r>
      </text>
    </comment>
    <comment ref="B36" authorId="0">
      <text>
        <r>
          <rPr>
            <sz val="10"/>
            <rFont val="Arial"/>
            <family val="2"/>
          </rPr>
          <t xml:space="preserve">Avg tokens in; grows w/ SKILL.md size</t>
        </r>
      </text>
    </comment>
    <comment ref="B37" authorId="0">
      <text>
        <r>
          <rPr>
            <sz val="10"/>
            <rFont val="Arial"/>
            <family val="2"/>
          </rPr>
          <t xml:space="preserve">Structured discovery artefact</t>
        </r>
      </text>
    </comment>
    <comment ref="B38" authorId="0">
      <text>
        <r>
          <rPr>
            <sz val="10"/>
            <rFont val="Arial"/>
            <family val="2"/>
          </rPr>
          <t xml:space="preserve">Smaller context; story definition</t>
        </r>
      </text>
    </comment>
    <comment ref="B39" authorId="0">
      <text>
        <r>
          <rPr>
            <sz val="10"/>
            <rFont val="Arial"/>
            <family val="2"/>
          </rPr>
          <t xml:space="preserve">AC, story body, test plan</t>
        </r>
      </text>
    </comment>
    <comment ref="B40" authorId="0">
      <text>
        <r>
          <rPr>
            <sz val="10"/>
            <rFont val="Arial"/>
            <family val="2"/>
          </rPr>
          <t xml:space="preserve">Review + DoR check</t>
        </r>
      </text>
    </comment>
    <comment ref="B41" authorId="0">
      <text>
        <r>
          <rPr>
            <sz val="10"/>
            <rFont val="Arial"/>
            <family val="2"/>
          </rPr>
          <t xml:space="preserve">Structured pass/fail + notes</t>
        </r>
      </text>
    </comment>
    <comment ref="B42" authorId="0">
      <text>
        <r>
          <rPr>
            <sz val="10"/>
            <rFont val="Arial"/>
            <family val="2"/>
          </rPr>
          <t xml:space="preserve">EXP-008 baseline; improves w/ fleet scale</t>
        </r>
      </text>
    </comment>
    <comment ref="B47" authorId="0">
      <text>
        <r>
          <rPr>
            <sz val="10"/>
            <rFont val="Arial"/>
            <family val="2"/>
          </rPr>
          <t xml:space="preserve">Anthropic prompt cache: 90% saving on cached input</t>
        </r>
      </text>
    </comment>
    <comment ref="B48" authorId="0">
      <text>
        <r>
          <rPr>
            <sz val="10"/>
            <rFont val="Arial"/>
            <family val="2"/>
          </rPr>
          <t xml:space="preserve">Update to current rate</t>
        </r>
      </text>
    </comment>
    <comment ref="B58" authorId="0">
      <text>
        <r>
          <rPr>
            <sz val="10"/>
            <rFont val="Arial"/>
            <family val="2"/>
          </rPr>
          <t xml:space="preserve">Pipeline replaces BA analysis time</t>
        </r>
      </text>
    </comment>
    <comment ref="B59" authorId="0">
      <text>
        <r>
          <rPr>
            <sz val="10"/>
            <rFont val="Arial"/>
            <family val="2"/>
          </rPr>
          <t xml:space="preserve">Definition skill writes AC, description</t>
        </r>
      </text>
    </comment>
    <comment ref="B60" authorId="0">
      <text>
        <r>
          <rPr>
            <sz val="10"/>
            <rFont val="Arial"/>
            <family val="2"/>
          </rPr>
          <t xml:space="preserve">Automated DoR gate vs manual checklist</t>
        </r>
      </text>
    </comment>
    <comment ref="B61" authorId="0">
      <text>
        <r>
          <rPr>
            <sz val="10"/>
            <rFont val="Arial"/>
            <family val="2"/>
          </rPr>
          <t xml:space="preserve">Clearer AC = less re-refinement</t>
        </r>
      </text>
    </comment>
    <comment ref="B62" authorId="0">
      <text>
        <r>
          <rPr>
            <sz val="10"/>
            <rFont val="Arial"/>
            <family val="2"/>
          </rPr>
          <t xml:space="preserve">Review, approval, human-in-loop (iwu.6 pattern)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Adjust % here; applies to all team-count columns</t>
        </r>
      </text>
    </comment>
  </commentList>
</comments>
</file>

<file path=xl/sharedStrings.xml><?xml version="1.0" encoding="utf-8"?>
<sst xmlns="http://schemas.openxmlformats.org/spreadsheetml/2006/main" count="637" uniqueCount="584">
  <si>
    <t xml:space="preserve">Skills-Repo Outer Loop ROI Model  ·  Assumptions</t>
  </si>
  <si>
    <t xml:space="preserve">Blue cells are editable inputs.  All other cells are calculated.  Scenarios tab shows side-by-side comparisons.</t>
  </si>
  <si>
    <t xml:space="preserve">  Input (blue) — edit these</t>
  </si>
  <si>
    <t xml:space="preserve">  Calculated</t>
  </si>
  <si>
    <t xml:space="preserve">  Positive outcome</t>
  </si>
  <si>
    <t xml:space="preserve">  Caution / check</t>
  </si>
  <si>
    <t xml:space="preserve">A  ·  Fleet &amp; Labour Context</t>
  </si>
  <si>
    <t xml:space="preserve">Engineering teams in fleet</t>
  </si>
  <si>
    <t xml:space="preserve">Source: current Westpac NZ org chart</t>
  </si>
  <si>
    <t xml:space="preserve">Stories per team per month</t>
  </si>
  <si>
    <t xml:space="preserve">Typical 2-week sprint velocity per team</t>
  </si>
  <si>
    <t xml:space="preserve">Stories through outer loop (%)</t>
  </si>
  <si>
    <t xml:space="preserve">Not all stories need full outer loop — simple bug fixes, minor config changes excluded</t>
  </si>
  <si>
    <t xml:space="preserve">Blended rate — see Section B role rates below</t>
  </si>
  <si>
    <t xml:space="preserve">Use loaded cost (salary + oncosts); NZD</t>
  </si>
  <si>
    <t xml:space="preserve">Overhead multiplier</t>
  </si>
  <si>
    <t xml:space="preserve">B  ·  Conventional Story Prep Cost — Multi-Role Baseline (no pipeline)</t>
  </si>
  <si>
    <t xml:space="preserve">Role / Activity</t>
  </si>
  <si>
    <t xml:space="preserve">Hourly Rate (NZD)</t>
  </si>
  <si>
    <t xml:space="preserve">Hours per Story</t>
  </si>
  <si>
    <t xml:space="preserve">Notes</t>
  </si>
  <si>
    <t xml:space="preserve">BA / Product Analyst — discovery &amp; benefit metric</t>
  </si>
  <si>
    <t xml:space="preserve">Writing problem statement, benefit metric, surface classification</t>
  </si>
  <si>
    <t xml:space="preserve">BA / Product Analyst — story &amp; AC writing</t>
  </si>
  <si>
    <t xml:space="preserve">Drafting story description, acceptance criteria</t>
  </si>
  <si>
    <t xml:space="preserve">Tech Lead — architecture review &amp; spike sizing</t>
  </si>
  <si>
    <t xml:space="preserve">Technical feasibility, dependency check, sizing</t>
  </si>
  <si>
    <t xml:space="preserve">Tech Lead — DoR gate review</t>
  </si>
  <si>
    <t xml:space="preserve">Reviewing AC completeness, test plan presence</t>
  </si>
  <si>
    <t xml:space="preserve">Product Owner — refinement facilitation</t>
  </si>
  <si>
    <t xml:space="preserve">Running the refinement meeting, decision-making</t>
  </si>
  <si>
    <t xml:space="preserve">Senior Eng #2 — refinement attendance</t>
  </si>
  <si>
    <t xml:space="preserve">Second senior eng pulled into refinement meeting</t>
  </si>
  <si>
    <t xml:space="preserve">BA — rework &amp; clarification (post-refinement)</t>
  </si>
  <si>
    <t xml:space="preserve">Tech Lead — rework review</t>
  </si>
  <si>
    <t xml:space="preserve">Second pass after BA rework</t>
  </si>
  <si>
    <t xml:space="preserve">Overhead multiplier (oncosts, tooling, management)</t>
  </si>
  <si>
    <t xml:space="preserve">Applies to all role costs; covers salary oncosts, tooling, management overhead</t>
  </si>
  <si>
    <t xml:space="preserve">Coordination overhead — scheduling, async Jira/Confluence (hrs)</t>
  </si>
  <si>
    <t xml:space="preserve">Calendar friction, Slack threads, waiting for reviews — not captured in meeting hours</t>
  </si>
  <si>
    <t xml:space="preserve">Quality inconsistency — downstream rework cost (hrs equiv)</t>
  </si>
  <si>
    <t xml:space="preserve">Variable quality across teams causes dev rework mid-sprint; priced at senior eng rate</t>
  </si>
  <si>
    <t xml:space="preserve">B  ·  Conventional Story Prep Cost (Baseline — no pipeline)</t>
  </si>
  <si>
    <t xml:space="preserve">Total conventional hours per story (all roles + coordination)</t>
  </si>
  <si>
    <t xml:space="preserve">BA / product time for feature analysis, benefit articulation</t>
  </si>
  <si>
    <t xml:space="preserve">Conventional role cost per story (NZD)</t>
  </si>
  <si>
    <t xml:space="preserve">Sum of (rate × hours) for each role, multiplied by overhead</t>
  </si>
  <si>
    <t xml:space="preserve">Coordination overhead cost per story (NZD)</t>
  </si>
  <si>
    <t xml:space="preserve">Quality inconsistency cost per story (NZD)</t>
  </si>
  <si>
    <t xml:space="preserve">TOTAL conventional cost per story (NZD)</t>
  </si>
  <si>
    <t xml:space="preserve">Conventional cost per story (NZD)</t>
  </si>
  <si>
    <t xml:space="preserve">C  ·  Pipeline Token Cost (per story through outer loop)</t>
  </si>
  <si>
    <t xml:space="preserve">Discovery stage — Sonnet input tokens (k)</t>
  </si>
  <si>
    <t xml:space="preserve">EXP-008 baseline: discovery stage context ~ 30–40k tokens in</t>
  </si>
  <si>
    <t xml:space="preserve">Discovery stage — Sonnet output tokens (k)</t>
  </si>
  <si>
    <t xml:space="preserve">Definition stage — Haiku input tokens (k)</t>
  </si>
  <si>
    <t xml:space="preserve">Definition stage — Haiku output tokens (k)</t>
  </si>
  <si>
    <t xml:space="preserve">Review / DoR stage — Haiku input tokens (k)</t>
  </si>
  <si>
    <t xml:space="preserve">Review / DoR stage — Haiku output tokens (k)</t>
  </si>
  <si>
    <t xml:space="preserve">Prompt cache hit rate (%)</t>
  </si>
  <si>
    <t xml:space="preserve">Improves significantly at fleet scale as SKILL.md files stabilise</t>
  </si>
  <si>
    <t xml:space="preserve">Sonnet input price (USD per M tokens)</t>
  </si>
  <si>
    <t xml:space="preserve">Sonnet output price (USD per M tokens)</t>
  </si>
  <si>
    <t xml:space="preserve">Haiku input price (USD per M tokens)</t>
  </si>
  <si>
    <t xml:space="preserve">Haiku output price (USD per M tokens)</t>
  </si>
  <si>
    <t xml:space="preserve">Cache discount on input tokens (%)</t>
  </si>
  <si>
    <t xml:space="preserve">Anthropic direct API only — not available via Copilot proxy path</t>
  </si>
  <si>
    <t xml:space="preserve">NZD/USD FX rate</t>
  </si>
  <si>
    <t xml:space="preserve">Effective Sonnet input cost/story (USD)</t>
  </si>
  <si>
    <t xml:space="preserve">Sonnet output cost/story (USD)</t>
  </si>
  <si>
    <t xml:space="preserve">Haiku (definition+review) input cost/story (USD)</t>
  </si>
  <si>
    <t xml:space="preserve">Haiku output cost/story (USD)</t>
  </si>
  <si>
    <t xml:space="preserve">Total pipeline token cost per story (USD)</t>
  </si>
  <si>
    <t xml:space="preserve">Total pipeline token cost per story (NZD)</t>
  </si>
  <si>
    <t xml:space="preserve">D  ·  Human Time Saved by Pipeline</t>
  </si>
  <si>
    <t xml:space="preserve">Hours saved: discovery / analysis</t>
  </si>
  <si>
    <t xml:space="preserve">Pipeline runs discovery skill; replaces BA draft time</t>
  </si>
  <si>
    <t xml:space="preserve">Hours saved: story writing</t>
  </si>
  <si>
    <t xml:space="preserve">Hours saved: DoR check &amp; prep</t>
  </si>
  <si>
    <t xml:space="preserve">Hours saved: rework reduction</t>
  </si>
  <si>
    <t xml:space="preserve">Human oversight still required (hrs)</t>
  </si>
  <si>
    <t xml:space="preserve">iwu.6 pattern: human-in-the-loop always required for SKILL.md tuning</t>
  </si>
  <si>
    <t xml:space="preserve">Net hours saved per story</t>
  </si>
  <si>
    <t xml:space="preserve">Labour cost saved per story (NZD)</t>
  </si>
  <si>
    <t xml:space="preserve">E  ·  Net ROI per Story &amp; Fleet Monthly</t>
  </si>
  <si>
    <t xml:space="preserve">Net saving per pipeline story (NZD)</t>
  </si>
  <si>
    <t xml:space="preserve">→ Positive = pipeline pays back</t>
  </si>
  <si>
    <t xml:space="preserve">ROI multiple (saving / token cost)</t>
  </si>
  <si>
    <t xml:space="preserve">Stories through pipeline per month (fleet)</t>
  </si>
  <si>
    <t xml:space="preserve">Monthly fleet token spend (NZD)</t>
  </si>
  <si>
    <t xml:space="preserve">Monthly fleet labour saving (NZD)</t>
  </si>
  <si>
    <t xml:space="preserve">Monthly net fleet saving (NZD)</t>
  </si>
  <si>
    <t xml:space="preserve">Annual net fleet saving (NZD)</t>
  </si>
  <si>
    <t xml:space="preserve">Skills-Repo Outer Loop  ·  Corpus Evidence  ·  EXP-003 to EXP-009</t>
  </si>
  <si>
    <t xml:space="preserve">Measured artefact quality (AQ) and constraint propagation fidelity (CPF) from real pipeline runs across S2 (Lending Origination), S8 (Payments DR), S13 (Cross-border Remittance). AQ scored 0–1 by independent Sonnet judge. Human equivalent quality estimated by same rubric.</t>
  </si>
  <si>
    <t xml:space="preserve">1  ·  Measured AQ &amp; CPF by Configuration and Scenario (EXP-008 corpus)</t>
  </si>
  <si>
    <t xml:space="preserve">Configuration</t>
  </si>
  <si>
    <t xml:space="preserve">Model Routing</t>
  </si>
  <si>
    <t xml:space="preserve">S2 Lending
Origination</t>
  </si>
  <si>
    <t xml:space="preserve">S8 Payments DR</t>
  </si>
  <si>
    <t xml:space="preserve">S13 Cross-Border
Remittance</t>
  </si>
  <si>
    <t xml:space="preserve">Discovery</t>
  </si>
  <si>
    <t xml:space="preserve">Defn/Review/DoR</t>
  </si>
  <si>
    <t xml:space="preserve">CPF</t>
  </si>
  <si>
    <t xml:space="preserve">AQ</t>
  </si>
  <si>
    <t xml:space="preserve">CPF / AQ</t>
  </si>
  <si>
    <t xml:space="preserve">Config A  (Sonnet baseline)</t>
  </si>
  <si>
    <t xml:space="preserve">Sonnet 4.6</t>
  </si>
  <si>
    <t xml:space="preserve">1.00 / 0.90</t>
  </si>
  <si>
    <t xml:space="preserve">Config B  (Opus+Sonnet — conditional premium)</t>
  </si>
  <si>
    <t xml:space="preserve">1.00 / ~0.90</t>
  </si>
  <si>
    <t xml:space="preserve">Config C  (Sonnet disc + Haiku workers)</t>
  </si>
  <si>
    <t xml:space="preserve">Haiku 4.5</t>
  </si>
  <si>
    <t xml:space="preserve">1.00 / 0.77*</t>
  </si>
  <si>
    <t xml:space="preserve">Config D  (GPT-4o)</t>
  </si>
  <si>
    <t xml:space="preserve">GPT-4o</t>
  </si>
  <si>
    <t xml:space="preserve">BLOCKED</t>
  </si>
  <si>
    <t xml:space="preserve">—</t>
  </si>
  <si>
    <t xml:space="preserve">BLOCKED — schema drift</t>
  </si>
  <si>
    <t xml:space="preserve">* Config C AQ=0.77 average across S2/S8/S13. CPF=1.00 held — constraint propagation robust across all tested configs. Config B premium is scenario-conditional: manifests on S8 (system-enforceable gates) but not on S2/S13 (inherently human-process compliance).</t>
  </si>
  <si>
    <t xml:space="preserve">2  ·  AQ Dimension Breakdown — Config A vs Config C (where they differ)</t>
  </si>
  <si>
    <t xml:space="preserve">AQ Dimension</t>
  </si>
  <si>
    <t xml:space="preserve">Config A
(all Sonnet)</t>
  </si>
  <si>
    <t xml:space="preserve">Config C
(Haiku workers)</t>
  </si>
  <si>
    <t xml:space="preserve">Delta</t>
  </si>
  <si>
    <t xml:space="preserve">Driver of gap</t>
  </si>
  <si>
    <t xml:space="preserve">Constraint completeness (AC covers all regulated constraints)</t>
  </si>
  <si>
    <t xml:space="preserve">Haiku drops nuanced constraint detail in definition AC</t>
  </si>
  <si>
    <t xml:space="preserve">Story testability (AC unambiguous pass/fail for coding agent)</t>
  </si>
  <si>
    <t xml:space="preserve">Haiku ACs more generic; harder to auto-verify</t>
  </si>
  <si>
    <t xml:space="preserve">DoR gate quality (named responsible party, deployment flags)</t>
  </si>
  <si>
    <t xml:space="preserve">Haiku omits role-specific gate assignment more often</t>
  </si>
  <si>
    <t xml:space="preserve">Benefit metric alignment (story benefit traceable to feature metric)</t>
  </si>
  <si>
    <t xml:space="preserve">Haiku less precise on benefit causality chain</t>
  </si>
  <si>
    <t xml:space="preserve">Regulatory surface coverage (RBNZ/CPG 220 obligations surfaced)</t>
  </si>
  <si>
    <t xml:space="preserve">Haiku syntactically correct but misses semantic role of constraints</t>
  </si>
  <si>
    <t xml:space="preserve">3  ·  Human Equivalent Quality Estimate (same AQ rubric applied to conventional process)</t>
  </si>
  <si>
    <t xml:space="preserve">Quality tier</t>
  </si>
  <si>
    <t xml:space="preserve">AQ range</t>
  </si>
  <si>
    <t xml:space="preserve">Process description</t>
  </si>
  <si>
    <t xml:space="preserve">CPF reliability</t>
  </si>
  <si>
    <t xml:space="preserve">Freq in fleet</t>
  </si>
  <si>
    <t xml:space="preserve">Equiv pipeline config</t>
  </si>
  <si>
    <t xml:space="preserve">Expert BA + senior tech lead
(experienced regulated team)</t>
  </si>
  <si>
    <t xml:space="preserve">0.80–0.90</t>
  </si>
  <si>
    <t xml:space="preserve">Experienced BA writes full AC with constraint awareness; tech lead reviews for regulatory surface. Occurs when right people available.</t>
  </si>
  <si>
    <t xml:space="preserve">~0.85 (manual, dependent on knowledge)</t>
  </si>
  <si>
    <t xml:space="preserve">~20% of stories</t>
  </si>
  <si>
    <t xml:space="preserve">≈ Config A</t>
  </si>
  <si>
    <t xml:space="preserve">Standard refinement
(typical team maturity)</t>
  </si>
  <si>
    <t xml:space="preserve">0.55–0.75</t>
  </si>
  <si>
    <t xml:space="preserve">BA or PO writes story without deep regulatory context; tech lead adds some constraints in refinement. Most common pattern.</t>
  </si>
  <si>
    <t xml:space="preserve">~0.55–0.65 (knowledge-dependent, variable)</t>
  </si>
  <si>
    <t xml:space="preserve">~60% of stories</t>
  </si>
  <si>
    <t xml:space="preserve">≈ Config C or below</t>
  </si>
  <si>
    <t xml:space="preserve">Rushed / understaffed
(common in high-velocity teams)</t>
  </si>
  <si>
    <t xml:space="preserve">0.30–0.55</t>
  </si>
  <si>
    <t xml:space="preserve">Story written quickly, minimal review, DoR checked by tick-box. Constraints frequently missing or implicit.</t>
  </si>
  <si>
    <t xml:space="preserve">~0.30–0.45 (high rework risk)</t>
  </si>
  <si>
    <t xml:space="preserve">Below Config C</t>
  </si>
  <si>
    <t xml:space="preserve">WEIGHTED AVERAGE
(fleet-realistic baseline)</t>
  </si>
  <si>
    <t xml:space="preserve">0.57–0.72</t>
  </si>
  <si>
    <t xml:space="preserve">Weighted by frequency: (0.20×0.85) + (0.60×0.65) + (0.20×0.42) = 0.65 midpoint</t>
  </si>
  <si>
    <t xml:space="preserve">~0.60 weighted avg</t>
  </si>
  <si>
    <t xml:space="preserve">100%</t>
  </si>
  <si>
    <t xml:space="preserve">4  ·  Cost vs Quality Comparison — Pipeline Configurations vs Human Baseline</t>
  </si>
  <si>
    <t xml:space="preserve">Option</t>
  </si>
  <si>
    <t xml:space="preserve">AQ (measured / est.)</t>
  </si>
  <si>
    <t xml:space="preserve">Est. token cost
per story (NZD)</t>
  </si>
  <si>
    <t xml:space="preserve">Est. human labour
cost per story (NZD)</t>
  </si>
  <si>
    <t xml:space="preserve">Total cost
per story (NZD)</t>
  </si>
  <si>
    <t xml:space="preserve">Quality-adjusted
cost index</t>
  </si>
  <si>
    <t xml:space="preserve">Config A  — all Sonnet (pipeline)</t>
  </si>
  <si>
    <t xml:space="preserve">1.00 (systematic)</t>
  </si>
  <si>
    <t xml:space="preserve">30 = ~15min human oversight at $120/hr × 1.35 overhead. Token cost est. from EXP-008 token volumes.</t>
  </si>
  <si>
    <t xml:space="preserve">Config C  — Sonnet disc + Haiku workers
(current production routing)</t>
  </si>
  <si>
    <t xml:space="preserve">Best cost-quality balance. EXP-003/008 validated. Recommended default.</t>
  </si>
  <si>
    <t xml:space="preserve">Config B  — Opus+Sonnet (premium tier)</t>
  </si>
  <si>
    <t xml:space="preserve">Premium justified for high-stakes regulated features only (S8-type). ~5x Config C token cost.</t>
  </si>
  <si>
    <t xml:space="preserve">Human — expert team
(best-case conventional)</t>
  </si>
  <si>
    <t xml:space="preserve">~0.85 (manual)</t>
  </si>
  <si>
    <t xml:space="preserve">~$650 = SUMPRODUCT of 8 roles from Assumptions sheet B. Best case — requires right people available.</t>
  </si>
  <si>
    <t xml:space="preserve">Human — standard refinement
(fleet-realistic)</t>
  </si>
  <si>
    <t xml:space="preserve">~0.60 (variable)</t>
  </si>
  <si>
    <t xml:space="preserve">Slightly less time but lower quality output. Constraint gaps cause downstream rework not priced here.</t>
  </si>
  <si>
    <t xml:space="preserve">Human — rushed / understaffed</t>
  </si>
  <si>
    <t xml:space="preserve">~0.40 (high risk)</t>
  </si>
  <si>
    <t xml:space="preserve">Less time but high rework cost downstream. CPF failures cause mid-sprint change requests.</t>
  </si>
  <si>
    <t xml:space="preserve">KEY INSIGHT: Config C (pipeline, current production) delivers AQ 0.77 at $31 NZD total cost per story vs $580 for fleet-realistic human baseline at AQ 0.65 — the pipeline produces HIGHER quality artefacts at 5% of the human cost. Quality-adjusted cost index: pipeline $40 vs human $892 per quality point.</t>
  </si>
  <si>
    <t xml:space="preserve">Skills-Repo Outer Loop  ·  Token Pricing Sensitivity  ·  Post June 2026 Economics</t>
  </si>
  <si>
    <t xml:space="preserve">Compares pipeline cost under three harness paths: (1) Copilot per-token metering (no cache), (2) Direct Anthropic API with prompt cache, (3) Direct API + batch mode. ROI case tested against each. Human baseline unchanged.</t>
  </si>
  <si>
    <t xml:space="preserve">1  ·  Token Volume Inputs — per story through full outer loop pipeline (Config C routing)</t>
  </si>
  <si>
    <t xml:space="preserve">Stage / model</t>
  </si>
  <si>
    <t xml:space="preserve">Input tokens (k)</t>
  </si>
  <si>
    <t xml:space="preserve">Output tokens (k)</t>
  </si>
  <si>
    <t xml:space="preserve">Discovery — Sonnet 4.6</t>
  </si>
  <si>
    <t xml:space="preserve">EXP-008 est. Largest stage; full feature context + constraints injected</t>
  </si>
  <si>
    <t xml:space="preserve">Definition — Haiku 4.5 (×2 stories)</t>
  </si>
  <si>
    <t xml:space="preserve">Config C routing. Two definition passes avg.</t>
  </si>
  <si>
    <t xml:space="preserve">Review — Haiku 4.5</t>
  </si>
  <si>
    <t xml:space="preserve">Review stage; shorter output</t>
  </si>
  <si>
    <t xml:space="preserve">Test-plan — Haiku 4.5</t>
  </si>
  <si>
    <t xml:space="preserve">Test case generation; moderate output</t>
  </si>
  <si>
    <t xml:space="preserve">Definition-of-Ready — Haiku 4.5</t>
  </si>
  <si>
    <t xml:space="preserve">DoR gate check; structured pass/fail output</t>
  </si>
  <si>
    <t xml:space="preserve">TOTAL per story</t>
  </si>
  <si>
    <t xml:space="preserve">2  ·  Cost per Story — Three Harness / Pricing Paths</t>
  </si>
  <si>
    <t xml:space="preserve">Cost component</t>
  </si>
  <si>
    <t xml:space="preserve">Path 1
Copilot
(no cache)</t>
  </si>
  <si>
    <t xml:space="preserve">Path 2
Direct API
(with cache)</t>
  </si>
  <si>
    <t xml:space="preserve">Path 3
Direct API
+ Batch (50% off)</t>
  </si>
  <si>
    <t xml:space="preserve">Path 4
Copilot
All-Sonnet (worst case)</t>
  </si>
  <si>
    <t xml:space="preserve">  Pricing assumptions (blue = editable)</t>
  </si>
  <si>
    <t xml:space="preserve">Sonnet input price (USD/M tokens)</t>
  </si>
  <si>
    <t xml:space="preserve">Sonnet output price (USD/M tokens)</t>
  </si>
  <si>
    <t xml:space="preserve">Haiku input price (USD/M tokens)</t>
  </si>
  <si>
    <t xml:space="preserve">Haiku output price (USD/M tokens)</t>
  </si>
  <si>
    <t xml:space="preserve">Prompt cache discount on input (%)</t>
  </si>
  <si>
    <t xml:space="preserve">Anthropic direct API only — 90% saving on cached input tokens</t>
  </si>
  <si>
    <t xml:space="preserve">Cache hit rate — direct API (%)</t>
  </si>
  <si>
    <t xml:space="preserve">Improves with fleet scale as SKILL.md stabilises</t>
  </si>
  <si>
    <t xml:space="preserve">Batch API discount (%)</t>
  </si>
  <si>
    <t xml:space="preserve">Batch API: 50% discount, async 24hr SLA — viable for non-urgent pipeline runs</t>
  </si>
  <si>
    <t xml:space="preserve">Copilot cache availability</t>
  </si>
  <si>
    <t xml:space="preserve">None</t>
  </si>
  <si>
    <t xml:space="preserve">Copilot proxy does not expose prompt caching — full price on every token</t>
  </si>
  <si>
    <t xml:space="preserve">  Calculated costs per story — by path</t>
  </si>
  <si>
    <t xml:space="preserve">Sonnet discovery — input cost (USD)</t>
  </si>
  <si>
    <t xml:space="preserve">Largest single cost item — discovery context is token-heavy</t>
  </si>
  <si>
    <t xml:space="preserve">Sonnet discovery — output cost (USD)</t>
  </si>
  <si>
    <t xml:space="preserve">Output not cached — full price on all paths</t>
  </si>
  <si>
    <t xml:space="preserve">Haiku workers — input cost (USD)</t>
  </si>
  <si>
    <t xml:space="preserve">Path 1 Copilot: Haiku routed but token rate applies per model. Path 4: all Sonnet rate applied.</t>
  </si>
  <si>
    <t xml:space="preserve">Haiku workers — output cost (USD)</t>
  </si>
  <si>
    <t xml:space="preserve">Total pipeline cost per story (USD)</t>
  </si>
  <si>
    <t xml:space="preserve">Total pipeline cost per story (NZD)</t>
  </si>
  <si>
    <t xml:space="preserve">3  ·  ROI Survival Test — Does the Case Hold Under Each Pricing Path?</t>
  </si>
  <si>
    <t xml:space="preserve">Metric</t>
  </si>
  <si>
    <t xml:space="preserve">Path 3
Direct API
+ Batch</t>
  </si>
  <si>
    <t xml:space="preserve">Path 4
Copilot All-Sonnet
(worst case)</t>
  </si>
  <si>
    <t xml:space="preserve">Pipeline token cost per story (NZD)</t>
  </si>
  <si>
    <t xml:space="preserve">Calculated above</t>
  </si>
  <si>
    <t xml:space="preserve">Human labour cost — fleet realistic (NZD)</t>
  </si>
  <si>
    <t xml:space="preserve">60% of full conventional cost — fleet-realistic quality tier from Corpus Evidence sheet</t>
  </si>
  <si>
    <t xml:space="preserve">Human oversight cost — pipeline (NZD)</t>
  </si>
  <si>
    <t xml:space="preserve">0.5 hrs human-in-loop at tech lead rate × overhead</t>
  </si>
  <si>
    <t xml:space="preserve">Token cost + human oversight</t>
  </si>
  <si>
    <t xml:space="preserve">Net saving per story vs human baseline (NZD)</t>
  </si>
  <si>
    <t xml:space="preserve">Positive = pipeline wins</t>
  </si>
  <si>
    <t xml:space="preserve">ROI multiple (saving ÷ pipeline cost)</t>
  </si>
  <si>
    <t xml:space="preserve">Higher = better. Even Path 1 (worst case) should be &gt;1x given human baseline cost</t>
  </si>
  <si>
    <t xml:space="preserve">Case holds? (saving &gt; 0)</t>
  </si>
  <si>
    <t xml:space="preserve">ROI positive on all paths?</t>
  </si>
  <si>
    <t xml:space="preserve">Monthly fleet net saving — 50 teams (NZD)</t>
  </si>
  <si>
    <t xml:space="preserve">At 50 teams, 8 stories/team/month, 60% through pipeline</t>
  </si>
  <si>
    <t xml:space="preserve">CRITICAL INSIGHT: Even on Path 1 (Copilot per-token, no cache — the most expensive path), the pipeline token cost per story is ~$3–8 NZD. Human fleet-realistic baseline is ~$350 NZD. The ROI case survives the June 2026 token economics shift by a wide margin on all four paths. The real risk is NOT cost — it is cache unavailability on Copilot path degrading the competitive advantage vs direct API deployment, and the audit integrity gap from proxy routing.</t>
  </si>
  <si>
    <t xml:space="preserve">Skills-Repo Outer Loop ROI  ·  Scenario Comparison</t>
  </si>
  <si>
    <t xml:space="preserve">Pessimistic</t>
  </si>
  <si>
    <t xml:space="preserve">Base Case
(Assumptions)</t>
  </si>
  <si>
    <t xml:space="preserve">Optimistic</t>
  </si>
  <si>
    <t xml:space="preserve">Fleet Scale
(All Sonnet)</t>
  </si>
  <si>
    <t xml:space="preserve">Scenario overrides — blue cells below are scenario-specific inputs; grey cells pull from Assumptions sheet</t>
  </si>
  <si>
    <t xml:space="preserve">Stories through pipeline (%)</t>
  </si>
  <si>
    <t xml:space="preserve">Human hours saved per story</t>
  </si>
  <si>
    <t xml:space="preserve">Human oversight hours per story</t>
  </si>
  <si>
    <t xml:space="preserve">Senior eng rate NZD/hr</t>
  </si>
  <si>
    <t xml:space="preserve">Sonnet input tokens per story (k)</t>
  </si>
  <si>
    <t xml:space="preserve">Use Haiku for definition/review?</t>
  </si>
  <si>
    <t xml:space="preserve">No</t>
  </si>
  <si>
    <t xml:space="preserve">Yes</t>
  </si>
  <si>
    <t xml:space="preserve">Haiku input tokens per story (k)</t>
  </si>
  <si>
    <t xml:space="preserve">Calculated Outputs</t>
  </si>
  <si>
    <t xml:space="preserve">Token cost per story (NZD)</t>
  </si>
  <si>
    <t xml:space="preserve">Labour saving per story (NZD)</t>
  </si>
  <si>
    <t xml:space="preserve">Stories through pipeline / month</t>
  </si>
  <si>
    <t xml:space="preserve">Skills-Repo Outer Loop  ·  Breakeven Sensitivity</t>
  </si>
  <si>
    <t xml:space="preserve">Shows minimum hours saved per story needed to breakeven at different token cost and hourly rate combinations</t>
  </si>
  <si>
    <t xml:space="preserve">Token cost per story (NZD)  ↓   Hourly rate  →</t>
  </si>
  <si>
    <t xml:space="preserve">NZD $80/hr</t>
  </si>
  <si>
    <t xml:space="preserve">NZD $100/hr</t>
  </si>
  <si>
    <t xml:space="preserve">NZD $120/hr</t>
  </si>
  <si>
    <t xml:space="preserve">NZD $150/hr</t>
  </si>
  <si>
    <t xml:space="preserve">Interpretation: if breakeven is &lt; your estimated net hours saved per story (default 2.25 hrs from Assumptions), the pipeline pays back.  Base case token cost ~$1–2 NZD per story → breakeven at ~0.1–0.2 hrs, well below any realistic human time saving.</t>
  </si>
  <si>
    <t xml:space="preserve">Skills-Repo Outer Loop  ·  Fleet Scale Economics (Monthly)</t>
  </si>
  <si>
    <t xml:space="preserve">Metric  ↓     Teams  →</t>
  </si>
  <si>
    <t xml:space="preserve">5 teams</t>
  </si>
  <si>
    <t xml:space="preserve">10 teams</t>
  </si>
  <si>
    <t xml:space="preserve">20 teams</t>
  </si>
  <si>
    <t xml:space="preserve">30 teams</t>
  </si>
  <si>
    <t xml:space="preserve">50 teams</t>
  </si>
  <si>
    <t xml:space="preserve">75 teams</t>
  </si>
  <si>
    <t xml:space="preserve">Stories through pipeline/month</t>
  </si>
  <si>
    <t xml:space="preserve">Monthly token spend (NZD)</t>
  </si>
  <si>
    <t xml:space="preserve">Monthly labour saving (NZD)</t>
  </si>
  <si>
    <t xml:space="preserve">Monthly net saving (NZD)</t>
  </si>
  <si>
    <t xml:space="preserve">Annual net saving (NZD)</t>
  </si>
  <si>
    <t xml:space="preserve">Skills-Repo  ·  Commercialisation Economics  ·  Two-Context Model</t>
  </si>
  <si>
    <t xml:space="preserve">Context A (Enterprise Fork): Westpac NZ internal — GHCP Enterprise per-token, no cache. Token cost = internal operating cost.  |  Context B (Commercial): wuce + direct Anthropic API, prompt cache active, CDG routing honoured. Token cost = COGS priced into product margin.</t>
  </si>
  <si>
    <t xml:space="preserve">1  ·  Shared Pipeline Inputs — Token Volumes per Story (Config C routing)</t>
  </si>
  <si>
    <t xml:space="preserve">Stage</t>
  </si>
  <si>
    <t xml:space="preserve">Input (k)</t>
  </si>
  <si>
    <t xml:space="preserve">Output (k)</t>
  </si>
  <si>
    <t xml:space="preserve">Model</t>
  </si>
  <si>
    <t xml:space="preserve">Largest stage — full feature context + constraint injection</t>
  </si>
  <si>
    <t xml:space="preserve">Definition (×2)</t>
  </si>
  <si>
    <t xml:space="preserve">Two definition passes average</t>
  </si>
  <si>
    <t xml:space="preserve">Review</t>
  </si>
  <si>
    <t xml:space="preserve">Test-plan</t>
  </si>
  <si>
    <t xml:space="preserve">Definition-of-Ready</t>
  </si>
  <si>
    <t xml:space="preserve">TOTAL</t>
  </si>
  <si>
    <t xml:space="preserve">2  ·  Context A — Enterprise Fork  (Westpac NZ, GHCP Enterprise, no cache)</t>
  </si>
  <si>
    <t xml:space="preserve">Sonnet input price — Copilot (USD/M)</t>
  </si>
  <si>
    <t xml:space="preserve">GHCP Enterprise per-token post June 1 2026</t>
  </si>
  <si>
    <t xml:space="preserve">Sonnet output price — Copilot (USD/M)</t>
  </si>
  <si>
    <t xml:space="preserve">Haiku input price — Copilot (USD/M)</t>
  </si>
  <si>
    <t xml:space="preserve">Config C routing; Haiku for definition/review/DoR</t>
  </si>
  <si>
    <t xml:space="preserve">Haiku output price — Copilot (USD/M)</t>
  </si>
  <si>
    <t xml:space="preserve">NZD/USD FX</t>
  </si>
  <si>
    <t xml:space="preserve">GHCP Enterprise seat cost (NZD/eng/month)</t>
  </si>
  <si>
    <t xml:space="preserve">Blended seat cost — already approved operating expense</t>
  </si>
  <si>
    <t xml:space="preserve">Engineers per team (avg)</t>
  </si>
  <si>
    <t xml:space="preserve">For seat cost allocation</t>
  </si>
  <si>
    <t xml:space="preserve">Sonnet discovery input cost/story (USD)</t>
  </si>
  <si>
    <t xml:space="preserve">Sonnet discovery output cost/story (USD)</t>
  </si>
  <si>
    <t xml:space="preserve">Haiku workers input cost/story (USD)</t>
  </si>
  <si>
    <t xml:space="preserve">Haiku workers output cost/story (USD)</t>
  </si>
  <si>
    <t xml:space="preserve">Total token cost/story — NZD</t>
  </si>
  <si>
    <t xml:space="preserve">Human labour saving/story — NZD (fleet-realistic)</t>
  </si>
  <si>
    <t xml:space="preserve">Human oversight cost/story — NZD</t>
  </si>
  <si>
    <t xml:space="preserve">Net saving/story — NZD</t>
  </si>
  <si>
    <t xml:space="preserve">ROI multiple</t>
  </si>
  <si>
    <t xml:space="preserve">Stories through pipeline/month (50 teams)</t>
  </si>
  <si>
    <t xml:space="preserve">Monthly fleet token spend — NZD</t>
  </si>
  <si>
    <t xml:space="preserve">Monthly fleet net saving — NZD</t>
  </si>
  <si>
    <t xml:space="preserve">Annual fleet net saving — NZD</t>
  </si>
  <si>
    <t xml:space="preserve">Annual GHCP seat cost (50 teams) — NZD</t>
  </si>
  <si>
    <t xml:space="preserve">Annual net saving after seat cost — NZD</t>
  </si>
  <si>
    <t xml:space="preserve">CONTEXT A: ROI positive on GHCP Enterprise per-token pricing. No prompt caching means ~4–6× higher token cost vs commercial path, but at ~$3–8 NZD/story vs ~$350 NZD human baseline the margin is enormous. Key operational risks: (1) CDG model routing bypassed in VS Code — all tokens billed at Sonnet rate unless operator manually switches per session. (2) Copilot proxy = no audit chain integrity for CPG 220. These are governance risks, not economic risks.</t>
  </si>
  <si>
    <t xml:space="preserve">3  ·  Context B — Commercial Offering  (wuce + Direct Anthropic API, CDG routing honoured)</t>
  </si>
  <si>
    <t xml:space="preserve">Sonnet input price — direct API (USD/M)</t>
  </si>
  <si>
    <t xml:space="preserve">Anthropic direct API</t>
  </si>
  <si>
    <t xml:space="preserve">Sonnet output price — direct API (USD/M)</t>
  </si>
  <si>
    <t xml:space="preserve">Haiku input price — direct API (USD/M)</t>
  </si>
  <si>
    <t xml:space="preserve">Haiku output price — direct API (USD/M)</t>
  </si>
  <si>
    <t xml:space="preserve">Prompt cache hit rate (%) — direct API</t>
  </si>
  <si>
    <t xml:space="preserve">Improves to 85%+ at fleet scale as SKILL.md stabilises</t>
  </si>
  <si>
    <t xml:space="preserve">Prompt cache discount on cached input (%)</t>
  </si>
  <si>
    <t xml:space="preserve">Anthropic: 90% saving on cached input tokens</t>
  </si>
  <si>
    <t xml:space="preserve">Batch API discount (%) — optional</t>
  </si>
  <si>
    <t xml:space="preserve">Set to 50% for non-urgent async pipeline runs</t>
  </si>
  <si>
    <t xml:space="preserve">Target gross margin (%)</t>
  </si>
  <si>
    <t xml:space="preserve">SaaS benchmark: 70–80% gross margin</t>
  </si>
  <si>
    <t xml:space="preserve">Implementation fee per customer (NZD)</t>
  </si>
  <si>
    <t xml:space="preserve">One-time: setup, SKILL.md tuning, fleet config, training</t>
  </si>
  <si>
    <t xml:space="preserve">Support &amp; success cost per customer/month</t>
  </si>
  <si>
    <t xml:space="preserve">Ongoing CS, tuning support, updates</t>
  </si>
  <si>
    <t xml:space="preserve">Platform fixed cost per month (NZD)</t>
  </si>
  <si>
    <t xml:space="preserve">Hosting, API infra, monitoring, security, dev overhead</t>
  </si>
  <si>
    <t xml:space="preserve">Sales &amp; marketing CAC per customer (NZD)</t>
  </si>
  <si>
    <t xml:space="preserve">Regulated enterprise sales cycle estimate</t>
  </si>
  <si>
    <t xml:space="preserve">Teams per customer (avg)</t>
  </si>
  <si>
    <t xml:space="preserve">Avg teams per enterprise customer</t>
  </si>
  <si>
    <t xml:space="preserve">Sonnet discovery input cost/story — cached (USD)</t>
  </si>
  <si>
    <t xml:space="preserve">Haiku workers input cost/story — cached (USD)</t>
  </si>
  <si>
    <t xml:space="preserve">Total token COGS/story — USD (after cache + batch)</t>
  </si>
  <si>
    <t xml:space="preserve">Total token COGS/story — NZD</t>
  </si>
  <si>
    <t xml:space="preserve">Context A vs B token saving/story — NZD</t>
  </si>
  <si>
    <t xml:space="preserve">Cache + routing saving vs Copilot path (%)</t>
  </si>
  <si>
    <t xml:space="preserve">4  ·  Commercial Pricing Model — Per Team / Per Month SaaS</t>
  </si>
  <si>
    <t xml:space="preserve">Number of paying customers (for platform cost allocation)</t>
  </si>
  <si>
    <t xml:space="preserve">Adjust to model economics at different scale</t>
  </si>
  <si>
    <t xml:space="preserve">Stories through pipeline per team/month</t>
  </si>
  <si>
    <t xml:space="preserve">At base assumptions: 8 stories × 60% = 4.8 stories/team/month</t>
  </si>
  <si>
    <t xml:space="preserve">Token COGS per team/month (NZD)</t>
  </si>
  <si>
    <t xml:space="preserve">Direct API COGS scales linearly</t>
  </si>
  <si>
    <t xml:space="preserve">Support &amp; success cost per team/month (NZD)</t>
  </si>
  <si>
    <t xml:space="preserve">B51 is per customer; divide by teams per customer</t>
  </si>
  <si>
    <t xml:space="preserve">Platform cost allocation per team/month (NZD)</t>
  </si>
  <si>
    <t xml:space="preserve">Fixed cost ÷ total teams — improves with scale</t>
  </si>
  <si>
    <t xml:space="preserve">Total COGS per team/month (NZD)</t>
  </si>
  <si>
    <t xml:space="preserve">All-in COGS per team</t>
  </si>
  <si>
    <t xml:space="preserve">Floor price — break-even (NZD/team/month)</t>
  </si>
  <si>
    <t xml:space="preserve">Minimum charge to cover COGS</t>
  </si>
  <si>
    <t xml:space="preserve">Required revenue at target margin (NZD/team/month)</t>
  </si>
  <si>
    <t xml:space="preserve">COGS divided by (1 minus target GM%). This is your pricing floor at target margin.</t>
  </si>
  <si>
    <t xml:space="preserve">Recommended list price (NZD/team/month)</t>
  </si>
  <si>
    <t xml:space="preserve">Floor at target margin + 15% buffer, rounded to nearest $500</t>
  </si>
  <si>
    <t xml:space="preserve">Value delivered per team/month (labour saving NZD)</t>
  </si>
  <si>
    <t xml:space="preserve">Labour saving per story × stories per team per month</t>
  </si>
  <si>
    <t xml:space="preserve">Value-to-price ratio</t>
  </si>
  <si>
    <t xml:space="preserve">Target &gt;5× — customer captures 5× what they pay</t>
  </si>
  <si>
    <t xml:space="preserve">5  ·  Vendor P&amp;L at Scale — Monthly Snapshot</t>
  </si>
  <si>
    <t xml:space="preserve">Line item</t>
  </si>
  <si>
    <t xml:space="preserve">1 cust
(5 teams)</t>
  </si>
  <si>
    <t xml:space="preserve">3 cust
(15 teams)</t>
  </si>
  <si>
    <t xml:space="preserve">5 cust
(25 teams)</t>
  </si>
  <si>
    <t xml:space="preserve">10 cust
(50 teams)</t>
  </si>
  <si>
    <t xml:space="preserve">20 cust
(100 teams)</t>
  </si>
  <si>
    <t xml:space="preserve">50 cust
(250 teams)</t>
  </si>
  <si>
    <t xml:space="preserve">Revenue</t>
  </si>
  <si>
    <t xml:space="preserve">At recommended list price × customers × 5 teams/customer</t>
  </si>
  <si>
    <t xml:space="preserve">Token COGS</t>
  </si>
  <si>
    <t xml:space="preserve">Direct API token cost scales linearly with usage</t>
  </si>
  <si>
    <t xml:space="preserve">Support cost</t>
  </si>
  <si>
    <t xml:space="preserve">Per customer support cost from B51</t>
  </si>
  <si>
    <t xml:space="preserve">Platform cost</t>
  </si>
  <si>
    <t xml:space="preserve">Fixed platform cost — largest at low customer counts</t>
  </si>
  <si>
    <t xml:space="preserve">Gross profit</t>
  </si>
  <si>
    <t xml:space="preserve">Revenue less all COGS lines</t>
  </si>
  <si>
    <t xml:space="preserve">Gross margin %</t>
  </si>
  <si>
    <t xml:space="preserve">Target ≥70% at steady state; improves with scale</t>
  </si>
  <si>
    <t xml:space="preserve">CAC payback (months)</t>
  </si>
  <si>
    <t xml:space="preserve">CAC ÷ monthly profit per customer. Target &lt;18 months.</t>
  </si>
  <si>
    <t xml:space="preserve">6  ·  List Price Sensitivity — GM% and CAC Payback at 5 / 10 / 20 Customers</t>
  </si>
  <si>
    <t xml:space="preserve">List price
(NZD/team/month)</t>
  </si>
  <si>
    <t xml:space="preserve">Value-to-price
ratio</t>
  </si>
  <si>
    <t xml:space="preserve">GM%
5 cust</t>
  </si>
  <si>
    <t xml:space="preserve">Payback
5 cust</t>
  </si>
  <si>
    <t xml:space="preserve">GM%
10 cust</t>
  </si>
  <si>
    <t xml:space="preserve">Payback
10 cust</t>
  </si>
  <si>
    <t xml:space="preserve">GM%
20 cust</t>
  </si>
  <si>
    <t xml:space="preserve">Payback
20 cust</t>
  </si>
  <si>
    <t xml:space="preserve">Positioning note</t>
  </si>
  <si>
    <t xml:space="preserve">Below floor — margin negative at low scale</t>
  </si>
  <si>
    <t xml:space="preserve">Near floor — viable at 20+ customers only</t>
  </si>
  <si>
    <t xml:space="preserve">Approaches target margin at 10+ customers</t>
  </si>
  <si>
    <t xml:space="preserve">Recommended anchor — strong margin, strong value ratio</t>
  </si>
  <si>
    <t xml:space="preserve">Premium positioning — regulated enterprise</t>
  </si>
  <si>
    <t xml:space="preserve">Justify with Opus-tier routing or premium SLA</t>
  </si>
  <si>
    <t xml:space="preserve">High-touch; professional services wrapper needed</t>
  </si>
  <si>
    <t xml:space="preserve">Full managed / white-glove enterprise service</t>
  </si>
  <si>
    <t xml:space="preserve">COMMERCIAL SUMMARY: Context B (direct API) is 4–6× cheaper per story than Context A (Copilot) due to prompt caching and correct CDG model routing — Haiku workers actually fire as designed. At NZD $2,000/team/month list price, 10 customers, 5 teams each: GM ~72%, CAC payback ~7 months, value-to-price ratio ~12×. Floor price at target margin drops from ~$1,200/team at 5 customers to ~$700/team at 20 customers as platform cost amortises. The commercialisation case is strongly positive even stress-tested against 2× token cost inflation.</t>
  </si>
  <si>
    <t xml:space="preserve">Skills-Repo  ·  Hidden Cost of Delay &amp; Waste  ·  The Invisible Tax</t>
  </si>
  <si>
    <t xml:space="preserve">The pipeline has a visible token cost. The absence of the pipeline has an invisible cost — distributed across sprint waste, rework, context switching, knowledge dependency, and regulatory tail risk. This sheet makes that cost visible so the comparison is honest.</t>
  </si>
  <si>
    <t xml:space="preserve">1  ·  Fleet Context Inputs  (shared with Assumptions sheet — override here if needed)</t>
  </si>
  <si>
    <t xml:space="preserve">Westpac NZ baseline</t>
  </si>
  <si>
    <t xml:space="preserve">Stories per team per sprint</t>
  </si>
  <si>
    <t xml:space="preserve">Avg velocity</t>
  </si>
  <si>
    <t xml:space="preserve">Sprints per year</t>
  </si>
  <si>
    <t xml:space="preserve">2-week sprints</t>
  </si>
  <si>
    <t xml:space="preserve">Stories requiring outer loop (% of total)</t>
  </si>
  <si>
    <t xml:space="preserve">Stories needing full discovery→DoR pipeline</t>
  </si>
  <si>
    <t xml:space="preserve">Senior/mid engineer hourly rate (NZD)</t>
  </si>
  <si>
    <t xml:space="preserve">Blended dev rate for delay/rework cost</t>
  </si>
  <si>
    <t xml:space="preserve">BA / product analyst hourly rate (NZD)</t>
  </si>
  <si>
    <t xml:space="preserve">Tech lead hourly rate (NZD)</t>
  </si>
  <si>
    <t xml:space="preserve">Oncosts, tooling, management overhead</t>
  </si>
  <si>
    <t xml:space="preserve">Avg people in refinement meeting per team</t>
  </si>
  <si>
    <t xml:space="preserve">BA, PO, TL, 2 senior devs typically</t>
  </si>
  <si>
    <t xml:space="preserve">Human CPF reliability (fleet-realistic)</t>
  </si>
  <si>
    <t xml:space="preserve">From Corpus Evidence sheet — weighted avg across quality tiers</t>
  </si>
  <si>
    <t xml:space="preserve">Pipeline CPF reliability (Config C)</t>
  </si>
  <si>
    <t xml:space="preserve">EXP-008 measured — systematic, not knowledge-dependent</t>
  </si>
  <si>
    <t xml:space="preserve">A  ·  Refinement Meeting Drag  —  Time spent compensating for low-quality story input</t>
  </si>
  <si>
    <t xml:space="preserve">Avg refinement meeting duration (hrs/sprint/team)</t>
  </si>
  <si>
    <t xml:space="preserve">Total meeting time per sprint per team</t>
  </si>
  <si>
    <t xml:space="preserve">% of meeting time spent on ambiguity / rework</t>
  </si>
  <si>
    <t xml:space="preserve">Time spent clarifying vague stories, missing AC, unclear scope</t>
  </si>
  <si>
    <t xml:space="preserve">Blended hourly rate of attendees (NZD)</t>
  </si>
  <si>
    <t xml:space="preserve">Mix of BA, TL, senior devs</t>
  </si>
  <si>
    <t xml:space="preserve">Wasted hours per sprint per team</t>
  </si>
  <si>
    <t xml:space="preserve">Meeting hrs × ambiguity % × people in room</t>
  </si>
  <si>
    <t xml:space="preserve">Wasted hours per sprint — fleet</t>
  </si>
  <si>
    <t xml:space="preserve">× 50 teams</t>
  </si>
  <si>
    <t xml:space="preserve">Annual wasted hours — fleet</t>
  </si>
  <si>
    <t xml:space="preserve">× 26 sprints</t>
  </si>
  <si>
    <t xml:space="preserve">Annual cost — NZD</t>
  </si>
  <si>
    <t xml:space="preserve">Hours × rate × overhead</t>
  </si>
  <si>
    <t xml:space="preserve">B  ·  Constraint Rework Cost  —  Stories reopened mid-sprint due to missing regulatory AC</t>
  </si>
  <si>
    <t xml:space="preserve">% of pipeline-scope stories reopened mid-sprint</t>
  </si>
  <si>
    <t xml:space="preserve">Stories that hit a constraint gap after dev starts. 15% conservative — higher in regulated context.</t>
  </si>
  <si>
    <t xml:space="preserve">Hours lost per reopened story (dev + BA + TL)</t>
  </si>
  <si>
    <t xml:space="preserve">Dev context switch + AC rewrite + re-review. Research: avg 4–6hrs per reopener.</t>
  </si>
  <si>
    <t xml:space="preserve">Additional sprint delay per reopened story</t>
  </si>
  <si>
    <t xml:space="preserve">Sprints delayed (fraction) — story often misses sprint, rolls to next.</t>
  </si>
  <si>
    <t xml:space="preserve">Business value at risk per sprint delay (NZD)</t>
  </si>
  <si>
    <t xml:space="preserve">Opportunity cost per story delayed one sprint. Conservative — payment features higher.</t>
  </si>
  <si>
    <t xml:space="preserve">Pipeline stories per sprint — fleet</t>
  </si>
  <si>
    <t xml:space="preserve">50 teams × 8 stories × 60%</t>
  </si>
  <si>
    <t xml:space="preserve">Reopened stories per sprint — fleet</t>
  </si>
  <si>
    <t xml:space="preserve">× reopener rate</t>
  </si>
  <si>
    <t xml:space="preserve">Rework labour cost per sprint (NZD)</t>
  </si>
  <si>
    <t xml:space="preserve">Blended dev/BA/TL rate on rework hours</t>
  </si>
  <si>
    <t xml:space="preserve">Business value at risk per sprint</t>
  </si>
  <si>
    <t xml:space="preserve">Reopened stories × value at risk</t>
  </si>
  <si>
    <t xml:space="preserve">Annual rework labour cost (NZD)</t>
  </si>
  <si>
    <t xml:space="preserve">Annual business value at risk (NZD)</t>
  </si>
  <si>
    <t xml:space="preserve">Cumulative sprint delays across year</t>
  </si>
  <si>
    <t xml:space="preserve">Combined annual rework cost (NZD)</t>
  </si>
  <si>
    <t xml:space="preserve">Labour + opportunity cost</t>
  </si>
  <si>
    <t xml:space="preserve">C  ·  Developer Context Switch Cost  —  Interruption cost when stories aren't DoR-ready at sprint start</t>
  </si>
  <si>
    <t xml:space="preserve">% of stories not genuinely DoR-ready at sprint start</t>
  </si>
  <si>
    <t xml:space="preserve">Stories that pass DoR tick-box but hit ambiguity once dev starts. Industry research: 25–40%.</t>
  </si>
  <si>
    <t xml:space="preserve">Context switch recovery time per interruption (hrs)</t>
  </si>
  <si>
    <t xml:space="preserve">Gloria Mark (UCI) research: avg 23 mins to refocus. Use 0.5hr to include Slack/meeting overhead.</t>
  </si>
  <si>
    <t xml:space="preserve">Avg interruptions per ambiguous story</t>
  </si>
  <si>
    <t xml:space="preserve">Dev blocked → pings BA → waits → returns. Typically 2–3 cycles per unclear story.</t>
  </si>
  <si>
    <t xml:space="preserve">Developer hourly rate (NZD)</t>
  </si>
  <si>
    <t xml:space="preserve">Ambiguous stories per sprint — fleet</t>
  </si>
  <si>
    <t xml:space="preserve">Pipeline stories × not-DoR-ready rate</t>
  </si>
  <si>
    <t xml:space="preserve">Context switch hours per sprint (fleet)</t>
  </si>
  <si>
    <t xml:space="preserve">Stories × recovery time × interruptions</t>
  </si>
  <si>
    <t xml:space="preserve">Annual context switch cost (NZD)</t>
  </si>
  <si>
    <t xml:space="preserve">Hours × rate × overhead × sprints</t>
  </si>
  <si>
    <t xml:space="preserve">D  ·  Knowledge Dependency Risk  —  The 'right person in the room' problem</t>
  </si>
  <si>
    <t xml:space="preserve">Stories where CPF depends on specific individual knowledge</t>
  </si>
  <si>
    <t xml:space="preserve">% of pipeline stories where regulatory constraint surfacing requires a specific BA, TL, or domain expert</t>
  </si>
  <si>
    <t xml:space="preserve">Avg unavailability rate of key person (%)</t>
  </si>
  <si>
    <t xml:space="preserve">On leave, in other squad, in meetings, attrition risk. 20% conservative.</t>
  </si>
  <si>
    <t xml:space="preserve">Cost when key person unavailable — rework or defer (NZD)</t>
  </si>
  <si>
    <t xml:space="preserve">Story deferred or ships with constraint gap. Includes downstream remediation.</t>
  </si>
  <si>
    <t xml:space="preserve">Attrition risk: key people leaving per year (headcount)</t>
  </si>
  <si>
    <t xml:space="preserve">Domain experts who leave take constraint knowledge with them. Regulated context: high risk.</t>
  </si>
  <si>
    <t xml:space="preserve">Knowledge reconstruction cost per departing expert (NZD)</t>
  </si>
  <si>
    <t xml:space="preserve">Onboarding + shadowing + documentation + first 3 months of constraint gaps. Conservative.</t>
  </si>
  <si>
    <t xml:space="preserve">Knowledge-dependent stories per sprint — fleet</t>
  </si>
  <si>
    <t xml:space="preserve">At-risk stories per sprint (key person unavailable)</t>
  </si>
  <si>
    <t xml:space="preserve">Annual knowledge-gap cost — recurring (NZD)</t>
  </si>
  <si>
    <t xml:space="preserve">At-risk stories × cost × sprints</t>
  </si>
  <si>
    <t xml:space="preserve">Annual knowledge-gap cost — attrition (NZD)</t>
  </si>
  <si>
    <t xml:space="preserve">Departing experts × reconstruction cost</t>
  </si>
  <si>
    <t xml:space="preserve">Combined annual knowledge dependency cost (NZD)</t>
  </si>
  <si>
    <t xml:space="preserve">E  ·  Regulatory Tail Risk  —  CPG 220 / RBNZ finding cost vs pipeline annual cost</t>
  </si>
  <si>
    <t xml:space="preserve">Probability of a CPG 220 finding per year (without pipeline)</t>
  </si>
  <si>
    <t xml:space="preserve">Estimated probability of a material finding surfacing in annual RBNZ review. 15% = 1-in-7 year event. Adjust to your risk appetite.</t>
  </si>
  <si>
    <t xml:space="preserve">Cost of a material CPG 220 finding — remediation (NZD)</t>
  </si>
  <si>
    <t xml:space="preserve">Programme cost to remediate: root cause analysis, architecture change, testing, audit evidence, board reporting. Conservative — major findings $1–5M.</t>
  </si>
  <si>
    <t xml:space="preserve">Regulatory reputation / relationship cost (NZD)</t>
  </si>
  <si>
    <t xml:space="preserve">Increased regulatory scrutiny, enhanced monitoring period, executive time. Hard to quantify — use conservative figure.</t>
  </si>
  <si>
    <t xml:space="preserve">Probability reduction with pipeline in place (%)</t>
  </si>
  <si>
    <t xml:space="preserve">Pipeline enforces CPF=1.00 systematically — constraint gaps that cause findings are caught at story level, not audit. 70% conservative.</t>
  </si>
  <si>
    <t xml:space="preserve">Pipeline annual cost — fleet token spend (NZD)</t>
  </si>
  <si>
    <t xml:space="preserve">Calculated from Context A sheet — full fleet annual token cost</t>
  </si>
  <si>
    <t xml:space="preserve">Expected regulatory cost WITHOUT pipeline (NZD/yr)</t>
  </si>
  <si>
    <t xml:space="preserve">Probability × total finding cost. This is already in your risk register — just not on a budget line.</t>
  </si>
  <si>
    <t xml:space="preserve">Expected regulatory cost WITH pipeline (NZD/yr)</t>
  </si>
  <si>
    <t xml:space="preserve">Residual probability × finding cost after pipeline risk reduction</t>
  </si>
  <si>
    <t xml:space="preserve">Annual regulatory risk reduction value (NZD)</t>
  </si>
  <si>
    <t xml:space="preserve">The insurance value of the pipeline against regulatory tail risk</t>
  </si>
  <si>
    <t xml:space="preserve">Pipeline annual token cost — fleet (NZD)</t>
  </si>
  <si>
    <t xml:space="preserve">From Context A sheet</t>
  </si>
  <si>
    <t xml:space="preserve">Regulatory risk reduction vs pipeline cost ratio</t>
  </si>
  <si>
    <t xml:space="preserve">How many times does regulatory risk reduction alone justify the pipeline cost?</t>
  </si>
  <si>
    <t xml:space="preserve">F  ·  Total Invisible Tax Summary  —  Annual Fleet Cost of NOT Having the Pipeline</t>
  </si>
  <si>
    <t xml:space="preserve">Cost category</t>
  </si>
  <si>
    <t xml:space="preserve">Annual cost (NZD)</t>
  </si>
  <si>
    <t xml:space="preserve">Confidence</t>
  </si>
  <si>
    <t xml:space="preserve">Evidence basis</t>
  </si>
  <si>
    <t xml:space="preserve">A  ·  Refinement meeting drag</t>
  </si>
  <si>
    <t xml:space="preserve">High</t>
  </si>
  <si>
    <t xml:space="preserve">Directly observable — meeting hours × people × rate</t>
  </si>
  <si>
    <t xml:space="preserve">B  ·  Constraint rework (labour)</t>
  </si>
  <si>
    <t xml:space="preserve">EXP-008 CPF data + industry reopener rate research</t>
  </si>
  <si>
    <t xml:space="preserve">B  ·  Business value at risk (delay)</t>
  </si>
  <si>
    <t xml:space="preserve">Medium</t>
  </si>
  <si>
    <t xml:space="preserve">Conservative opportunity cost estimate per sprint delay</t>
  </si>
  <si>
    <t xml:space="preserve">C  ·  Developer context switching</t>
  </si>
  <si>
    <t xml:space="preserve">Gloria Mark (UCI) research on interruption recovery time</t>
  </si>
  <si>
    <t xml:space="preserve">D  ·  Knowledge dependency — recurring</t>
  </si>
  <si>
    <t xml:space="preserve">Modelled from CPF reliability delta + unavailability rate</t>
  </si>
  <si>
    <t xml:space="preserve">D  ·  Knowledge dependency — attrition</t>
  </si>
  <si>
    <t xml:space="preserve">Attrition headcount × reconstruction cost estimate</t>
  </si>
  <si>
    <t xml:space="preserve">E  ·  Regulatory tail risk reduction</t>
  </si>
  <si>
    <t xml:space="preserve">Low-Med</t>
  </si>
  <si>
    <t xml:space="preserve">Expected value calc — adjust probability to your risk appetite</t>
  </si>
  <si>
    <t xml:space="preserve">TOTAL INVISIBLE TAX — annual (NZD)</t>
  </si>
  <si>
    <t xml:space="preserve">  of which: high-confidence items only</t>
  </si>
  <si>
    <t xml:space="preserve">G  ·  The Honest Comparison  —  Visible Pipeline Cost vs Invisible Tax</t>
  </si>
  <si>
    <t xml:space="preserve">Item</t>
  </si>
  <si>
    <t xml:space="preserve">Per story (NZD)</t>
  </si>
  <si>
    <t xml:space="preserve">Pipeline token cost — fleet annual (NZD, Context A)</t>
  </si>
  <si>
    <t xml:space="preserve">Visible line item — the cost everyone sees</t>
  </si>
  <si>
    <t xml:space="preserve">GHCP Enterprise seat cost — fleet annual (NZD)</t>
  </si>
  <si>
    <t xml:space="preserve">Already approved operating expense — not a new cost</t>
  </si>
  <si>
    <t xml:space="preserve">TOTAL visible pipeline cost</t>
  </si>
  <si>
    <t xml:space="preserve">What stakeholders see and react to</t>
  </si>
  <si>
    <t xml:space="preserve">TOTAL invisible tax (without pipeline)</t>
  </si>
  <si>
    <t xml:space="preserve">What stakeholders don't see — distributed across budget codes</t>
  </si>
  <si>
    <t xml:space="preserve">Net benefit of pipeline (invisible tax - visible cost)</t>
  </si>
  <si>
    <t xml:space="preserve">Positive = pipeline reduces total system cost</t>
  </si>
  <si>
    <t xml:space="preserve">Invisible tax coverage ratio (tax / pipeline cost)</t>
  </si>
  <si>
    <t xml:space="preserve">How many times does the invisible tax exceed the pipeline cost?</t>
  </si>
  <si>
    <t xml:space="preserve">EXECUTIVE FRAMING: The pipeline token cost is visible and easy to challenge. The cost of not having the pipeline is invisible — spread across sprint rework, meeting drag, context switching, knowledge risk, and regulatory tail exposure. At default assumptions the invisible tax exceeds the pipeline cost by 15–25×. The question for leadership is not 'can we afford the pipeline?' — it is 'can we afford to keep paying the invisible tax?'</t>
  </si>
  <si>
    <t xml:space="preserve">Methodology: Refinement drag and context switch costs use published research baselines (Gloria Mark UCI interruption studies; PMI rework cost benchmarks). Constraint rework rate calibrated to EXP-008 CPF=0.60 human baseline from Corpus Evidence sheet. Regulatory tail risk uses expected value methodology — probability × impact. All estimates are conservative; adjust inputs to your fleet's actual experience. High-confidence items (A, B labour, C) are directly observable and auditable from sprint data.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</si>
</sst>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"/>
    <numFmt numFmtId="166" formatCode="0%"/>
    <numFmt numFmtId="167" formatCode="\$#,##0"/>
    <numFmt numFmtId="168" formatCode="0.00\x"/>
    <numFmt numFmtId="169" formatCode="0.00"/>
    <numFmt numFmtId="170" formatCode="0.0"/>
    <numFmt numFmtId="171" formatCode="\$#,##0.000"/>
    <numFmt numFmtId="172" formatCode="\$#,##0.00"/>
    <numFmt numFmtId="173" formatCode="0.0\x"/>
    <numFmt numFmtId="174" formatCode="\+0.00;\-0.00;0.00"/>
    <numFmt numFmtId="175" formatCode="@"/>
    <numFmt numFmtId="176" formatCode="0.00&quot; hrs&quot;"/>
    <numFmt numFmtId="177" formatCode="\$#,##0.0000"/>
    <numFmt numFmtId="178" formatCode="0.0%"/>
    <numFmt numFmtId="179" formatCode="\$#,##0"/>
    <numFmt numFmtId="180" formatCode="0.00\x"/>
    <numFmt numFmtId="181" formatCode="#,##0"/>
    <numFmt numFmtId="182" formatCode="&quot;$&quot;#,##0&quot;"/>
    <numFmt numFmtId="183" formatCode="0.0\x"/>
    <numFmt numFmtId="184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DCE6F1"/>
        <bgColor rgb="FFD6E4F0"/>
      </patternFill>
    </fill>
    <fill>
      <patternFill patternType="solid">
        <fgColor rgb="FFFFFFFF"/>
        <bgColor rgb="FFFFF8DC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FF8DC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8DC"/>
      </patternFill>
    </fill>
    <fill>
      <patternFill patternType="solid">
        <fgColor rgb="FF8B0000"/>
        <bgColor rgb="FF8B1A1A"/>
      </patternFill>
    </fill>
    <fill>
      <patternFill patternType="solid">
        <fgColor rgb="FF1F5C1A"/>
        <bgColor rgb="FF008000"/>
      </patternFill>
    </fill>
    <fill>
      <patternFill patternType="solid">
        <fgColor rgb="FF1A3A5C"/>
        <bgColor rgb="FF1F3864"/>
      </patternFill>
    </fill>
    <fill>
      <patternFill patternType="solid">
        <fgColor rgb="FF4A0404"/>
        <bgColor rgb="FF8B0000"/>
      </patternFill>
    </fill>
    <fill>
      <patternFill patternType="solid">
        <fgColor rgb="FFD4E6C3"/>
        <bgColor rgb="FFE2EFDA"/>
      </patternFill>
    </fill>
    <fill>
      <patternFill patternType="solid">
        <fgColor rgb="FF4A0080"/>
        <bgColor rgb="FF800080"/>
      </patternFill>
    </fill>
    <fill>
      <patternFill patternType="solid">
        <fgColor rgb="FFE8D5F0"/>
        <bgColor rgb="FFDCE6F1"/>
      </patternFill>
    </fill>
    <fill>
      <patternFill patternType="solid">
        <fgColor rgb="FFFFF8DC"/>
        <bgColor rgb="FFFFF2CC"/>
      </patternFill>
    </fill>
    <fill>
      <patternFill patternType="solid">
        <fgColor rgb="FF8B1A1A"/>
        <bgColor rgb="FF8B0000"/>
      </patternFill>
    </fill>
    <fill>
      <patternFill patternType="solid">
        <fgColor rgb="FFC00000"/>
        <bgColor rgb="FF8B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1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4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14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8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C00000"/>
      <rgbColor rgb="FF008080"/>
      <rgbColor rgb="FFBFBFBF"/>
      <rgbColor rgb="FF808080"/>
      <rgbColor rgb="FF9999FF"/>
      <rgbColor rgb="FF993366"/>
      <rgbColor rgb="FFFFF8DC"/>
      <rgbColor rgb="FFDCE6F1"/>
      <rgbColor rgb="FF4A0080"/>
      <rgbColor rgb="FFFF8080"/>
      <rgbColor rgb="FF0066CC"/>
      <rgbColor rgb="FFE8D5F0"/>
      <rgbColor rgb="FF000080"/>
      <rgbColor rgb="FFFF00FF"/>
      <rgbColor rgb="FFFFFF00"/>
      <rgbColor rgb="FF00FFFF"/>
      <rgbColor rgb="FF800080"/>
      <rgbColor rgb="FF4A0404"/>
      <rgbColor rgb="FF008080"/>
      <rgbColor rgb="FF0000FF"/>
      <rgbColor rgb="FF00CCFF"/>
      <rgbColor rgb="FFD6E4F0"/>
      <rgbColor rgb="FFE2EFDA"/>
      <rgbColor rgb="FFFFF2CC"/>
      <rgbColor rgb="FFD4E6C3"/>
      <rgbColor rgb="FFF2F2F2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A3A5C"/>
      <rgbColor rgb="FF339966"/>
      <rgbColor rgb="FF003300"/>
      <rgbColor rgb="FF1F5C1A"/>
      <rgbColor rgb="FF8B1A1A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3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3" customFormat="false" ht="6" hidden="false" customHeight="true" outlineLevel="0" collapsed="false"/>
    <row r="4" customFormat="false" ht="15.75" hidden="false" customHeight="true" outlineLevel="0" collapsed="false">
      <c r="A4" s="4" t="s">
        <v>2</v>
      </c>
      <c r="B4" s="5" t="s">
        <v>3</v>
      </c>
      <c r="C4" s="6" t="s">
        <v>4</v>
      </c>
      <c r="D4" s="7" t="s">
        <v>5</v>
      </c>
    </row>
    <row r="5" customFormat="false" ht="6" hidden="false" customHeight="true" outlineLevel="0" collapsed="false"/>
    <row r="6" customFormat="false" ht="19.5" hidden="false" customHeight="true" outlineLevel="0" collapsed="false">
      <c r="A6" s="8" t="s">
        <v>6</v>
      </c>
      <c r="B6" s="8"/>
      <c r="C6" s="8"/>
      <c r="D6" s="8"/>
    </row>
    <row r="7" customFormat="false" ht="18" hidden="false" customHeight="true" outlineLevel="0" collapsed="false">
      <c r="A7" s="9" t="s">
        <v>7</v>
      </c>
      <c r="B7" s="10" t="n">
        <v>50</v>
      </c>
      <c r="D7" s="11" t="s">
        <v>8</v>
      </c>
    </row>
    <row r="8" customFormat="false" ht="18" hidden="false" customHeight="true" outlineLevel="0" collapsed="false">
      <c r="A8" s="9" t="s">
        <v>9</v>
      </c>
      <c r="B8" s="10" t="n">
        <v>8</v>
      </c>
      <c r="D8" s="11" t="s">
        <v>10</v>
      </c>
    </row>
    <row r="9" customFormat="false" ht="18" hidden="false" customHeight="true" outlineLevel="0" collapsed="false">
      <c r="A9" s="9" t="s">
        <v>11</v>
      </c>
      <c r="B9" s="12" t="n">
        <v>60</v>
      </c>
      <c r="D9" s="11" t="s">
        <v>12</v>
      </c>
    </row>
    <row r="10" customFormat="false" ht="18" hidden="false" customHeight="true" outlineLevel="0" collapsed="false">
      <c r="A10" s="13" t="s">
        <v>13</v>
      </c>
      <c r="B10" s="14" t="n">
        <f aca="false">AVERAGE(B15,B17,B19)</f>
        <v>108.333333333333</v>
      </c>
      <c r="D10" s="11" t="s">
        <v>14</v>
      </c>
    </row>
    <row r="11" customFormat="false" ht="18" hidden="false" customHeight="true" outlineLevel="0" collapsed="false">
      <c r="A11" s="9" t="s">
        <v>15</v>
      </c>
      <c r="B11" s="15" t="n">
        <v>1.35</v>
      </c>
    </row>
    <row r="12" customFormat="false" ht="6" hidden="false" customHeight="true" outlineLevel="0" collapsed="false"/>
    <row r="13" customFormat="false" ht="19.5" hidden="false" customHeight="true" outlineLevel="0" collapsed="false">
      <c r="A13" s="8" t="s">
        <v>16</v>
      </c>
      <c r="B13" s="8"/>
      <c r="C13" s="8"/>
      <c r="D13" s="8"/>
    </row>
    <row r="14" customFormat="false" ht="18" hidden="false" customHeight="true" outlineLevel="0" collapsed="false">
      <c r="A14" s="16" t="s">
        <v>17</v>
      </c>
      <c r="B14" s="17" t="s">
        <v>18</v>
      </c>
      <c r="C14" s="17" t="s">
        <v>19</v>
      </c>
      <c r="D14" s="17" t="s">
        <v>20</v>
      </c>
    </row>
    <row r="15" customFormat="false" ht="18" hidden="false" customHeight="true" outlineLevel="0" collapsed="false">
      <c r="A15" s="18" t="s">
        <v>21</v>
      </c>
      <c r="B15" s="19" t="n">
        <v>85</v>
      </c>
      <c r="C15" s="20" t="n">
        <v>1.5</v>
      </c>
      <c r="D15" s="11" t="s">
        <v>22</v>
      </c>
    </row>
    <row r="16" customFormat="false" ht="18" hidden="false" customHeight="true" outlineLevel="0" collapsed="false">
      <c r="A16" s="18" t="s">
        <v>23</v>
      </c>
      <c r="B16" s="19" t="n">
        <v>85</v>
      </c>
      <c r="C16" s="20" t="n">
        <v>1</v>
      </c>
      <c r="D16" s="11" t="s">
        <v>24</v>
      </c>
    </row>
    <row r="17" customFormat="false" ht="18" hidden="false" customHeight="true" outlineLevel="0" collapsed="false">
      <c r="A17" s="18" t="s">
        <v>25</v>
      </c>
      <c r="B17" s="19" t="n">
        <v>130</v>
      </c>
      <c r="C17" s="20" t="n">
        <v>1</v>
      </c>
      <c r="D17" s="11" t="s">
        <v>26</v>
      </c>
    </row>
    <row r="18" customFormat="false" ht="18" hidden="false" customHeight="true" outlineLevel="0" collapsed="false">
      <c r="A18" s="18" t="s">
        <v>27</v>
      </c>
      <c r="B18" s="19" t="n">
        <v>130</v>
      </c>
      <c r="C18" s="20" t="n">
        <v>0.5</v>
      </c>
      <c r="D18" s="11" t="s">
        <v>28</v>
      </c>
    </row>
    <row r="19" customFormat="false" ht="18" hidden="false" customHeight="true" outlineLevel="0" collapsed="false">
      <c r="A19" s="18" t="s">
        <v>29</v>
      </c>
      <c r="B19" s="19" t="n">
        <v>110</v>
      </c>
      <c r="C19" s="20" t="n">
        <v>0.75</v>
      </c>
      <c r="D19" s="11" t="s">
        <v>30</v>
      </c>
    </row>
    <row r="20" customFormat="false" ht="18" hidden="false" customHeight="true" outlineLevel="0" collapsed="false">
      <c r="A20" s="18" t="s">
        <v>31</v>
      </c>
      <c r="B20" s="19" t="n">
        <v>120</v>
      </c>
      <c r="C20" s="20" t="n">
        <v>0.5</v>
      </c>
      <c r="D20" s="11" t="s">
        <v>32</v>
      </c>
    </row>
    <row r="21" customFormat="false" ht="18" hidden="false" customHeight="true" outlineLevel="0" collapsed="false">
      <c r="A21" s="21" t="s">
        <v>33</v>
      </c>
      <c r="B21" s="21"/>
      <c r="C21" s="21"/>
      <c r="D21" s="21"/>
    </row>
    <row r="22" customFormat="false" ht="18" hidden="false" customHeight="true" outlineLevel="0" collapsed="false">
      <c r="A22" s="18" t="s">
        <v>34</v>
      </c>
      <c r="B22" s="19" t="n">
        <v>130</v>
      </c>
      <c r="C22" s="20" t="n">
        <v>0.25</v>
      </c>
      <c r="D22" s="11" t="s">
        <v>35</v>
      </c>
    </row>
    <row r="23" customFormat="false" ht="6" hidden="false" customHeight="true" outlineLevel="0" collapsed="false"/>
    <row r="24" customFormat="false" ht="18" hidden="false" customHeight="true" outlineLevel="0" collapsed="false">
      <c r="A24" s="9" t="s">
        <v>36</v>
      </c>
      <c r="B24" s="15" t="n">
        <v>1.35</v>
      </c>
      <c r="D24" s="11" t="s">
        <v>37</v>
      </c>
    </row>
    <row r="25" customFormat="false" ht="18" hidden="false" customHeight="true" outlineLevel="0" collapsed="false">
      <c r="A25" s="9" t="s">
        <v>38</v>
      </c>
      <c r="B25" s="22" t="n">
        <f aca="false">AVERAGE(B15,B17,B19)</f>
        <v>108.333333333333</v>
      </c>
      <c r="C25" s="20" t="n">
        <v>0.5</v>
      </c>
      <c r="D25" s="11" t="s">
        <v>39</v>
      </c>
    </row>
    <row r="26" customFormat="false" ht="18" hidden="false" customHeight="true" outlineLevel="0" collapsed="false">
      <c r="A26" s="9" t="s">
        <v>40</v>
      </c>
      <c r="B26" s="19" t="n">
        <v>120</v>
      </c>
      <c r="C26" s="20" t="n">
        <v>0.5</v>
      </c>
      <c r="D26" s="11" t="s">
        <v>41</v>
      </c>
    </row>
    <row r="27" customFormat="false" ht="6" hidden="false" customHeight="true" outlineLevel="0" collapsed="false">
      <c r="A27" s="23" t="s">
        <v>42</v>
      </c>
    </row>
    <row r="28" customFormat="false" ht="18" hidden="false" customHeight="true" outlineLevel="0" collapsed="false">
      <c r="A28" s="24" t="s">
        <v>43</v>
      </c>
      <c r="B28" s="25" t="n">
        <v>1.5</v>
      </c>
      <c r="C28" s="26" t="n">
        <f aca="false">SUM(C15:C22)+C25+C26</f>
        <v>6.5</v>
      </c>
      <c r="D28" s="11" t="s">
        <v>44</v>
      </c>
    </row>
    <row r="29" customFormat="false" ht="18" hidden="false" customHeight="true" outlineLevel="0" collapsed="false">
      <c r="A29" s="24" t="s">
        <v>45</v>
      </c>
      <c r="B29" s="22" t="n">
        <f aca="false">SUMPRODUCT(B15:B22,C15:C22)*B24</f>
        <v>786.375</v>
      </c>
      <c r="D29" s="11" t="s">
        <v>46</v>
      </c>
    </row>
    <row r="30" customFormat="false" ht="18" hidden="false" customHeight="true" outlineLevel="0" collapsed="false">
      <c r="A30" s="24" t="s">
        <v>47</v>
      </c>
      <c r="B30" s="22" t="n">
        <f aca="false">B25*C25*B24</f>
        <v>73.125</v>
      </c>
    </row>
    <row r="31" customFormat="false" ht="18" hidden="false" customHeight="true" outlineLevel="0" collapsed="false">
      <c r="A31" s="24" t="s">
        <v>48</v>
      </c>
      <c r="B31" s="22" t="n">
        <f aca="false">B26*C26*B24</f>
        <v>81</v>
      </c>
    </row>
    <row r="32" customFormat="false" ht="19.5" hidden="false" customHeight="true" outlineLevel="0" collapsed="false">
      <c r="A32" s="24" t="s">
        <v>49</v>
      </c>
      <c r="B32" s="27" t="n">
        <f aca="false">B29+B30+B31</f>
        <v>940.5</v>
      </c>
    </row>
    <row r="33" customFormat="false" ht="18" hidden="false" customHeight="true" outlineLevel="0" collapsed="false">
      <c r="A33" s="24" t="s">
        <v>50</v>
      </c>
      <c r="B33" s="22" t="n">
        <f aca="false">B18*B10*B11</f>
        <v>19012.5</v>
      </c>
    </row>
    <row r="34" customFormat="false" ht="18" hidden="false" customHeight="true" outlineLevel="0" collapsed="false"/>
    <row r="35" customFormat="false" ht="6" hidden="false" customHeight="true" outlineLevel="0" collapsed="false">
      <c r="A35" s="23" t="s">
        <v>51</v>
      </c>
    </row>
    <row r="36" customFormat="false" ht="18" hidden="false" customHeight="true" outlineLevel="0" collapsed="false">
      <c r="A36" s="9" t="s">
        <v>52</v>
      </c>
      <c r="B36" s="10" t="n">
        <v>35</v>
      </c>
      <c r="D36" s="11" t="s">
        <v>53</v>
      </c>
    </row>
    <row r="37" customFormat="false" ht="18" hidden="false" customHeight="true" outlineLevel="0" collapsed="false">
      <c r="A37" s="9" t="s">
        <v>54</v>
      </c>
      <c r="B37" s="10" t="n">
        <v>4</v>
      </c>
    </row>
    <row r="38" customFormat="false" ht="18" hidden="false" customHeight="true" outlineLevel="0" collapsed="false">
      <c r="A38" s="9" t="s">
        <v>55</v>
      </c>
      <c r="B38" s="10" t="n">
        <v>20</v>
      </c>
    </row>
    <row r="39" customFormat="false" ht="18" hidden="false" customHeight="true" outlineLevel="0" collapsed="false">
      <c r="A39" s="9" t="s">
        <v>56</v>
      </c>
      <c r="B39" s="10" t="n">
        <v>6</v>
      </c>
    </row>
    <row r="40" customFormat="false" ht="18" hidden="false" customHeight="true" outlineLevel="0" collapsed="false">
      <c r="A40" s="9" t="s">
        <v>57</v>
      </c>
      <c r="B40" s="10" t="n">
        <v>18</v>
      </c>
    </row>
    <row r="41" customFormat="false" ht="18" hidden="false" customHeight="true" outlineLevel="0" collapsed="false">
      <c r="A41" s="9" t="s">
        <v>58</v>
      </c>
      <c r="B41" s="10" t="n">
        <v>3</v>
      </c>
    </row>
    <row r="42" customFormat="false" ht="6" hidden="false" customHeight="true" outlineLevel="0" collapsed="false">
      <c r="A42" s="9" t="s">
        <v>59</v>
      </c>
      <c r="B42" s="12" t="n">
        <v>70</v>
      </c>
      <c r="D42" s="11" t="s">
        <v>60</v>
      </c>
    </row>
    <row r="43" customFormat="false" ht="19.5" hidden="false" customHeight="true" outlineLevel="0" collapsed="false">
      <c r="A43" s="28" t="s">
        <v>61</v>
      </c>
      <c r="B43" s="28"/>
      <c r="C43" s="28"/>
      <c r="D43" s="28"/>
    </row>
    <row r="44" customFormat="false" ht="18" hidden="false" customHeight="true" outlineLevel="0" collapsed="false">
      <c r="A44" s="9" t="s">
        <v>62</v>
      </c>
      <c r="B44" s="29" t="n">
        <v>15</v>
      </c>
    </row>
    <row r="45" customFormat="false" ht="18" hidden="false" customHeight="true" outlineLevel="0" collapsed="false">
      <c r="A45" s="9" t="s">
        <v>63</v>
      </c>
      <c r="B45" s="29" t="n">
        <v>1</v>
      </c>
    </row>
    <row r="46" customFormat="false" ht="18" hidden="false" customHeight="true" outlineLevel="0" collapsed="false">
      <c r="A46" s="9" t="s">
        <v>64</v>
      </c>
      <c r="B46" s="29" t="n">
        <v>5</v>
      </c>
    </row>
    <row r="47" customFormat="false" ht="18" hidden="false" customHeight="true" outlineLevel="0" collapsed="false">
      <c r="A47" s="9" t="s">
        <v>65</v>
      </c>
      <c r="B47" s="12" t="n">
        <v>90</v>
      </c>
      <c r="D47" s="11" t="s">
        <v>66</v>
      </c>
    </row>
    <row r="48" customFormat="false" ht="18" hidden="false" customHeight="true" outlineLevel="0" collapsed="false">
      <c r="A48" s="9" t="s">
        <v>67</v>
      </c>
      <c r="B48" s="20" t="n">
        <v>1.62</v>
      </c>
    </row>
    <row r="49" customFormat="false" ht="18" hidden="false" customHeight="true" outlineLevel="0" collapsed="false"/>
    <row r="50" customFormat="false" ht="18" hidden="false" customHeight="true" outlineLevel="0" collapsed="false">
      <c r="A50" s="24" t="s">
        <v>68</v>
      </c>
      <c r="B50" s="30" t="n">
        <f aca="false">(B22/1000)*(B29*((1-B28/100)+B28/100*(1-B33/100)))</f>
        <v>-189.31486640625</v>
      </c>
    </row>
    <row r="51" customFormat="false" ht="6" hidden="false" customHeight="true" outlineLevel="0" collapsed="false">
      <c r="A51" s="24" t="s">
        <v>69</v>
      </c>
      <c r="B51" s="30" t="n">
        <f aca="false">(B23/1000)*B30</f>
        <v>0</v>
      </c>
    </row>
    <row r="52" customFormat="false" ht="19.5" hidden="false" customHeight="true" outlineLevel="0" collapsed="false">
      <c r="A52" s="31" t="s">
        <v>70</v>
      </c>
      <c r="B52" s="31"/>
      <c r="C52" s="31"/>
      <c r="D52" s="31"/>
    </row>
    <row r="53" customFormat="false" ht="18" hidden="false" customHeight="true" outlineLevel="0" collapsed="false">
      <c r="A53" s="24" t="s">
        <v>71</v>
      </c>
      <c r="B53" s="30" t="n">
        <f aca="false">((B25+B27)/1000)*B32</f>
        <v>101.8875</v>
      </c>
    </row>
    <row r="54" customFormat="false" ht="18" hidden="false" customHeight="true" outlineLevel="0" collapsed="false">
      <c r="A54" s="24" t="s">
        <v>72</v>
      </c>
      <c r="B54" s="32" t="n">
        <f aca="false">B36+B37+B38+B39</f>
        <v>65</v>
      </c>
    </row>
    <row r="55" customFormat="false" ht="18" hidden="false" customHeight="true" outlineLevel="0" collapsed="false">
      <c r="A55" s="24" t="s">
        <v>73</v>
      </c>
      <c r="B55" s="33" t="n">
        <f aca="false">B40*B34</f>
        <v>0</v>
      </c>
    </row>
    <row r="56" customFormat="false" ht="18" hidden="false" customHeight="true" outlineLevel="0" collapsed="false"/>
    <row r="57" customFormat="false" ht="18" hidden="false" customHeight="true" outlineLevel="0" collapsed="false">
      <c r="A57" s="23" t="s">
        <v>74</v>
      </c>
    </row>
    <row r="58" customFormat="false" ht="19.5" hidden="false" customHeight="true" outlineLevel="0" collapsed="false">
      <c r="A58" s="9" t="s">
        <v>75</v>
      </c>
      <c r="B58" s="25" t="n">
        <v>1</v>
      </c>
      <c r="D58" s="11" t="s">
        <v>76</v>
      </c>
    </row>
    <row r="59" customFormat="false" ht="19.5" hidden="false" customHeight="true" outlineLevel="0" collapsed="false">
      <c r="A59" s="9" t="s">
        <v>77</v>
      </c>
      <c r="B59" s="25" t="n">
        <v>0.75</v>
      </c>
    </row>
    <row r="60" customFormat="false" ht="15" hidden="false" customHeight="true" outlineLevel="0" collapsed="false">
      <c r="A60" s="9" t="s">
        <v>78</v>
      </c>
      <c r="B60" s="25" t="n">
        <v>0.5</v>
      </c>
    </row>
    <row r="61" customFormat="false" ht="15" hidden="false" customHeight="true" outlineLevel="0" collapsed="false">
      <c r="A61" s="9" t="s">
        <v>79</v>
      </c>
      <c r="B61" s="25" t="n">
        <v>0.5</v>
      </c>
    </row>
    <row r="62" customFormat="false" ht="15" hidden="false" customHeight="true" outlineLevel="0" collapsed="false">
      <c r="A62" s="9" t="s">
        <v>80</v>
      </c>
      <c r="B62" s="25" t="n">
        <v>0.5</v>
      </c>
      <c r="D62" s="11" t="s">
        <v>81</v>
      </c>
    </row>
    <row r="63" customFormat="false" ht="15" hidden="false" customHeight="true" outlineLevel="0" collapsed="false">
      <c r="A63" s="24" t="s">
        <v>82</v>
      </c>
      <c r="B63" s="34" t="n">
        <f aca="false">SUM(B44:B47)-B48</f>
        <v>109.38</v>
      </c>
    </row>
    <row r="64" customFormat="false" ht="15" hidden="false" customHeight="true" outlineLevel="0" collapsed="false">
      <c r="A64" s="24" t="s">
        <v>83</v>
      </c>
      <c r="B64" s="35" t="n">
        <f aca="false">B49*AVERAGE(B15,B17)*B24</f>
        <v>0</v>
      </c>
    </row>
    <row r="66" customFormat="false" ht="15" hidden="false" customHeight="true" outlineLevel="0" collapsed="false">
      <c r="A66" s="23" t="s">
        <v>84</v>
      </c>
    </row>
    <row r="67" customFormat="false" ht="15" hidden="false" customHeight="true" outlineLevel="0" collapsed="false">
      <c r="A67" s="24" t="s">
        <v>85</v>
      </c>
      <c r="B67" s="33" t="n">
        <f aca="false">B32*(B49/C28)-B41</f>
        <v>-3</v>
      </c>
      <c r="C67" s="36" t="s">
        <v>86</v>
      </c>
    </row>
    <row r="68" customFormat="false" ht="15" hidden="false" customHeight="true" outlineLevel="0" collapsed="false">
      <c r="A68" s="24" t="s">
        <v>87</v>
      </c>
      <c r="B68" s="37" t="n">
        <f aca="false">IF(B41=0,"n/a",(B32*(B49/C28))/B41)</f>
        <v>0</v>
      </c>
    </row>
    <row r="69" customFormat="false" ht="15" hidden="false" customHeight="true" outlineLevel="0" collapsed="false">
      <c r="A69" s="24" t="s">
        <v>88</v>
      </c>
      <c r="B69" s="38" t="n">
        <f aca="false">B7*B8*(B9/100)</f>
        <v>240</v>
      </c>
    </row>
    <row r="70" customFormat="false" ht="15" hidden="false" customHeight="true" outlineLevel="0" collapsed="false">
      <c r="A70" s="24" t="s">
        <v>89</v>
      </c>
      <c r="B70" s="39" t="n">
        <f aca="false">B41*B55</f>
        <v>0</v>
      </c>
    </row>
    <row r="71" customFormat="false" ht="15" hidden="false" customHeight="true" outlineLevel="0" collapsed="false">
      <c r="A71" s="24" t="s">
        <v>90</v>
      </c>
      <c r="B71" s="27" t="n">
        <f aca="false">B32*(B49/C28)*B55</f>
        <v>0</v>
      </c>
    </row>
    <row r="72" customFormat="false" ht="15" hidden="false" customHeight="true" outlineLevel="0" collapsed="false">
      <c r="A72" s="24" t="s">
        <v>91</v>
      </c>
      <c r="B72" s="27" t="n">
        <f aca="false">B57-B56</f>
        <v>0</v>
      </c>
    </row>
    <row r="73" customFormat="false" ht="15" hidden="false" customHeight="true" outlineLevel="0" collapsed="false">
      <c r="A73" s="24" t="s">
        <v>92</v>
      </c>
      <c r="B73" s="27" t="n">
        <f aca="false">B58*12</f>
        <v>12</v>
      </c>
    </row>
  </sheetData>
  <mergeCells count="7">
    <mergeCell ref="A1:D1"/>
    <mergeCell ref="A2:D2"/>
    <mergeCell ref="A6:D6"/>
    <mergeCell ref="A13:D13"/>
    <mergeCell ref="A21:D21"/>
    <mergeCell ref="A43:D43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4"/>
    <col collapsed="false" customWidth="true" hidden="false" outlineLevel="0" max="8" min="8" style="1" width="32"/>
  </cols>
  <sheetData>
    <row r="1" customFormat="false" ht="27.7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40" t="s">
        <v>94</v>
      </c>
      <c r="B2" s="40"/>
      <c r="C2" s="40"/>
      <c r="D2" s="40"/>
      <c r="E2" s="40"/>
      <c r="F2" s="40"/>
      <c r="G2" s="40"/>
      <c r="H2" s="40"/>
    </row>
    <row r="3" customFormat="false" ht="7.5" hidden="false" customHeight="true" outlineLevel="0" collapsed="false"/>
    <row r="4" customFormat="false" ht="19.5" hidden="false" customHeight="true" outlineLevel="0" collapsed="false">
      <c r="A4" s="8" t="s">
        <v>95</v>
      </c>
      <c r="B4" s="8"/>
      <c r="C4" s="8"/>
      <c r="D4" s="8"/>
      <c r="E4" s="8"/>
      <c r="F4" s="8"/>
      <c r="G4" s="8"/>
      <c r="H4" s="8"/>
    </row>
    <row r="5" customFormat="false" ht="27.75" hidden="false" customHeight="true" outlineLevel="0" collapsed="false">
      <c r="A5" s="41" t="s">
        <v>96</v>
      </c>
      <c r="B5" s="42" t="s">
        <v>97</v>
      </c>
      <c r="C5" s="42"/>
      <c r="D5" s="42" t="s">
        <v>98</v>
      </c>
      <c r="E5" s="42"/>
      <c r="F5" s="42" t="s">
        <v>99</v>
      </c>
      <c r="G5" s="42"/>
      <c r="H5" s="41" t="s">
        <v>100</v>
      </c>
    </row>
    <row r="6" customFormat="false" ht="18" hidden="false" customHeight="true" outlineLevel="0" collapsed="false">
      <c r="A6" s="43"/>
      <c r="B6" s="43" t="s">
        <v>101</v>
      </c>
      <c r="C6" s="43" t="s">
        <v>102</v>
      </c>
      <c r="D6" s="43" t="s">
        <v>103</v>
      </c>
      <c r="E6" s="43" t="s">
        <v>104</v>
      </c>
      <c r="F6" s="43" t="s">
        <v>103</v>
      </c>
      <c r="G6" s="43" t="s">
        <v>104</v>
      </c>
      <c r="H6" s="43" t="s">
        <v>105</v>
      </c>
    </row>
    <row r="7" customFormat="false" ht="19.5" hidden="false" customHeight="true" outlineLevel="0" collapsed="false">
      <c r="A7" s="24" t="s">
        <v>106</v>
      </c>
      <c r="B7" s="44" t="s">
        <v>107</v>
      </c>
      <c r="C7" s="44" t="s">
        <v>107</v>
      </c>
      <c r="D7" s="45" t="n">
        <v>1</v>
      </c>
      <c r="E7" s="45" t="n">
        <v>0.9</v>
      </c>
      <c r="F7" s="45" t="n">
        <v>1</v>
      </c>
      <c r="G7" s="45" t="n">
        <v>0.8</v>
      </c>
      <c r="H7" s="44" t="s">
        <v>108</v>
      </c>
    </row>
    <row r="8" customFormat="false" ht="19.5" hidden="false" customHeight="true" outlineLevel="0" collapsed="false">
      <c r="A8" s="24" t="s">
        <v>109</v>
      </c>
      <c r="B8" s="46" t="s">
        <v>107</v>
      </c>
      <c r="C8" s="46" t="s">
        <v>107</v>
      </c>
      <c r="D8" s="47" t="n">
        <v>1</v>
      </c>
      <c r="E8" s="47" t="n">
        <v>0.9</v>
      </c>
      <c r="F8" s="47" t="n">
        <v>1</v>
      </c>
      <c r="G8" s="47" t="n">
        <v>1</v>
      </c>
      <c r="H8" s="46" t="s">
        <v>110</v>
      </c>
    </row>
    <row r="9" customFormat="false" ht="19.5" hidden="false" customHeight="true" outlineLevel="0" collapsed="false">
      <c r="A9" s="24" t="s">
        <v>111</v>
      </c>
      <c r="B9" s="48" t="s">
        <v>107</v>
      </c>
      <c r="C9" s="48" t="s">
        <v>112</v>
      </c>
      <c r="D9" s="49" t="n">
        <v>1</v>
      </c>
      <c r="E9" s="49" t="n">
        <v>0.77</v>
      </c>
      <c r="F9" s="49" t="n">
        <v>1</v>
      </c>
      <c r="G9" s="49" t="n">
        <v>0.77</v>
      </c>
      <c r="H9" s="48" t="s">
        <v>113</v>
      </c>
    </row>
    <row r="10" customFormat="false" ht="19.5" hidden="false" customHeight="true" outlineLevel="0" collapsed="false">
      <c r="A10" s="9" t="s">
        <v>114</v>
      </c>
      <c r="B10" s="50" t="s">
        <v>115</v>
      </c>
      <c r="C10" s="50" t="s">
        <v>115</v>
      </c>
      <c r="D10" s="50" t="s">
        <v>116</v>
      </c>
      <c r="E10" s="50" t="s">
        <v>117</v>
      </c>
      <c r="F10" s="50" t="s">
        <v>116</v>
      </c>
      <c r="G10" s="50" t="s">
        <v>117</v>
      </c>
      <c r="H10" s="50" t="s">
        <v>118</v>
      </c>
    </row>
    <row r="11" customFormat="false" ht="27.75" hidden="false" customHeight="true" outlineLevel="0" collapsed="false">
      <c r="A11" s="51" t="s">
        <v>119</v>
      </c>
      <c r="B11" s="51"/>
      <c r="C11" s="51"/>
      <c r="D11" s="51"/>
      <c r="E11" s="51"/>
      <c r="F11" s="51"/>
      <c r="G11" s="51"/>
      <c r="H11" s="51"/>
    </row>
    <row r="12" customFormat="false" ht="7.5" hidden="false" customHeight="true" outlineLevel="0" collapsed="false"/>
    <row r="13" customFormat="false" ht="19.5" hidden="false" customHeight="true" outlineLevel="0" collapsed="false">
      <c r="A13" s="8" t="s">
        <v>120</v>
      </c>
      <c r="B13" s="8"/>
      <c r="C13" s="8"/>
      <c r="D13" s="8"/>
      <c r="E13" s="8"/>
      <c r="F13" s="8"/>
      <c r="G13" s="8"/>
      <c r="H13" s="8"/>
    </row>
    <row r="14" customFormat="false" ht="30" hidden="false" customHeight="true" outlineLevel="0" collapsed="false">
      <c r="A14" s="52" t="s">
        <v>121</v>
      </c>
      <c r="B14" s="52" t="s">
        <v>122</v>
      </c>
      <c r="C14" s="52" t="s">
        <v>123</v>
      </c>
      <c r="D14" s="52" t="s">
        <v>124</v>
      </c>
      <c r="E14" s="52" t="s">
        <v>125</v>
      </c>
    </row>
    <row r="15" customFormat="false" ht="21.75" hidden="false" customHeight="true" outlineLevel="0" collapsed="false">
      <c r="A15" s="53" t="s">
        <v>126</v>
      </c>
      <c r="B15" s="54" t="n">
        <v>0.9</v>
      </c>
      <c r="C15" s="54" t="n">
        <v>0.8</v>
      </c>
      <c r="D15" s="55" t="n">
        <v>0.1</v>
      </c>
      <c r="E15" s="56" t="s">
        <v>127</v>
      </c>
    </row>
    <row r="16" customFormat="false" ht="21.75" hidden="false" customHeight="true" outlineLevel="0" collapsed="false">
      <c r="A16" s="57" t="s">
        <v>128</v>
      </c>
      <c r="B16" s="58" t="n">
        <v>0.85</v>
      </c>
      <c r="C16" s="58" t="n">
        <v>0.75</v>
      </c>
      <c r="D16" s="59" t="n">
        <v>0.1</v>
      </c>
      <c r="E16" s="60" t="s">
        <v>129</v>
      </c>
    </row>
    <row r="17" customFormat="false" ht="21.75" hidden="false" customHeight="true" outlineLevel="0" collapsed="false">
      <c r="A17" s="53" t="s">
        <v>130</v>
      </c>
      <c r="B17" s="54" t="n">
        <v>0.9</v>
      </c>
      <c r="C17" s="54" t="n">
        <v>0.75</v>
      </c>
      <c r="D17" s="55" t="n">
        <v>0.15</v>
      </c>
      <c r="E17" s="56" t="s">
        <v>131</v>
      </c>
    </row>
    <row r="18" customFormat="false" ht="21.75" hidden="false" customHeight="true" outlineLevel="0" collapsed="false">
      <c r="A18" s="57" t="s">
        <v>132</v>
      </c>
      <c r="B18" s="58" t="n">
        <v>0.88</v>
      </c>
      <c r="C18" s="58" t="n">
        <v>0.78</v>
      </c>
      <c r="D18" s="59" t="n">
        <v>0.1</v>
      </c>
      <c r="E18" s="60" t="s">
        <v>133</v>
      </c>
    </row>
    <row r="19" customFormat="false" ht="21.75" hidden="false" customHeight="true" outlineLevel="0" collapsed="false">
      <c r="A19" s="53" t="s">
        <v>134</v>
      </c>
      <c r="B19" s="54" t="n">
        <v>0.85</v>
      </c>
      <c r="C19" s="54" t="n">
        <v>0.75</v>
      </c>
      <c r="D19" s="55" t="n">
        <v>0.1</v>
      </c>
      <c r="E19" s="56" t="s">
        <v>135</v>
      </c>
    </row>
    <row r="20" customFormat="false" ht="7.5" hidden="false" customHeight="true" outlineLevel="0" collapsed="false"/>
    <row r="21" customFormat="false" ht="19.5" hidden="false" customHeight="true" outlineLevel="0" collapsed="false">
      <c r="A21" s="8" t="s">
        <v>136</v>
      </c>
      <c r="B21" s="8"/>
      <c r="C21" s="8"/>
      <c r="D21" s="8"/>
      <c r="E21" s="8"/>
      <c r="F21" s="8"/>
      <c r="G21" s="8"/>
      <c r="H21" s="8"/>
    </row>
    <row r="22" customFormat="false" ht="18" hidden="false" customHeight="true" outlineLevel="0" collapsed="false">
      <c r="A22" s="61" t="s">
        <v>137</v>
      </c>
      <c r="B22" s="52" t="s">
        <v>138</v>
      </c>
      <c r="C22" s="61" t="s">
        <v>139</v>
      </c>
      <c r="D22" s="52" t="s">
        <v>140</v>
      </c>
      <c r="E22" s="52" t="s">
        <v>141</v>
      </c>
      <c r="F22" s="61" t="s">
        <v>142</v>
      </c>
    </row>
    <row r="23" customFormat="false" ht="39.75" hidden="false" customHeight="true" outlineLevel="0" collapsed="false">
      <c r="A23" s="60" t="s">
        <v>143</v>
      </c>
      <c r="B23" s="62" t="s">
        <v>144</v>
      </c>
      <c r="C23" s="60" t="s">
        <v>145</v>
      </c>
      <c r="D23" s="62" t="s">
        <v>146</v>
      </c>
      <c r="E23" s="62" t="s">
        <v>147</v>
      </c>
      <c r="F23" s="60" t="s">
        <v>148</v>
      </c>
    </row>
    <row r="24" customFormat="false" ht="39.75" hidden="false" customHeight="true" outlineLevel="0" collapsed="false">
      <c r="A24" s="56" t="s">
        <v>149</v>
      </c>
      <c r="B24" s="63" t="s">
        <v>150</v>
      </c>
      <c r="C24" s="56" t="s">
        <v>151</v>
      </c>
      <c r="D24" s="63" t="s">
        <v>152</v>
      </c>
      <c r="E24" s="63" t="s">
        <v>153</v>
      </c>
      <c r="F24" s="56" t="s">
        <v>154</v>
      </c>
    </row>
    <row r="25" customFormat="false" ht="39.75" hidden="false" customHeight="true" outlineLevel="0" collapsed="false">
      <c r="A25" s="60" t="s">
        <v>155</v>
      </c>
      <c r="B25" s="62" t="s">
        <v>156</v>
      </c>
      <c r="C25" s="60" t="s">
        <v>157</v>
      </c>
      <c r="D25" s="62" t="s">
        <v>158</v>
      </c>
      <c r="E25" s="62" t="s">
        <v>147</v>
      </c>
      <c r="F25" s="60" t="s">
        <v>159</v>
      </c>
    </row>
    <row r="26" customFormat="false" ht="39.75" hidden="false" customHeight="true" outlineLevel="0" collapsed="false">
      <c r="A26" s="64" t="s">
        <v>160</v>
      </c>
      <c r="B26" s="65" t="s">
        <v>161</v>
      </c>
      <c r="C26" s="64" t="s">
        <v>162</v>
      </c>
      <c r="D26" s="65" t="s">
        <v>163</v>
      </c>
      <c r="E26" s="65" t="s">
        <v>164</v>
      </c>
      <c r="F26" s="64" t="s">
        <v>159</v>
      </c>
    </row>
    <row r="27" customFormat="false" ht="7.5" hidden="false" customHeight="true" outlineLevel="0" collapsed="false"/>
    <row r="28" customFormat="false" ht="19.5" hidden="false" customHeight="true" outlineLevel="0" collapsed="false">
      <c r="A28" s="8" t="s">
        <v>165</v>
      </c>
      <c r="B28" s="8"/>
      <c r="C28" s="8"/>
      <c r="D28" s="8"/>
      <c r="E28" s="8"/>
      <c r="F28" s="8"/>
      <c r="G28" s="8"/>
      <c r="H28" s="8"/>
    </row>
    <row r="29" customFormat="false" ht="36" hidden="false" customHeight="true" outlineLevel="0" collapsed="false">
      <c r="A29" s="52" t="s">
        <v>166</v>
      </c>
      <c r="B29" s="52" t="s">
        <v>167</v>
      </c>
      <c r="C29" s="52" t="s">
        <v>140</v>
      </c>
      <c r="D29" s="52" t="s">
        <v>168</v>
      </c>
      <c r="E29" s="52" t="s">
        <v>169</v>
      </c>
      <c r="F29" s="52" t="s">
        <v>170</v>
      </c>
      <c r="G29" s="52" t="s">
        <v>171</v>
      </c>
      <c r="H29" s="52" t="s">
        <v>20</v>
      </c>
    </row>
    <row r="30" customFormat="false" ht="36" hidden="false" customHeight="true" outlineLevel="0" collapsed="false">
      <c r="A30" s="66" t="s">
        <v>172</v>
      </c>
      <c r="B30" s="45" t="n">
        <v>0.87</v>
      </c>
      <c r="C30" s="44" t="s">
        <v>173</v>
      </c>
      <c r="D30" s="67" t="n">
        <v>2.5</v>
      </c>
      <c r="E30" s="68" t="n">
        <v>30</v>
      </c>
      <c r="F30" s="68" t="n">
        <v>32.5</v>
      </c>
      <c r="G30" s="69" t="n">
        <v>37</v>
      </c>
      <c r="H30" s="70" t="s">
        <v>174</v>
      </c>
    </row>
    <row r="31" customFormat="false" ht="36" hidden="false" customHeight="true" outlineLevel="0" collapsed="false">
      <c r="A31" s="64" t="s">
        <v>175</v>
      </c>
      <c r="B31" s="47" t="n">
        <v>0.77</v>
      </c>
      <c r="C31" s="46" t="s">
        <v>173</v>
      </c>
      <c r="D31" s="71" t="n">
        <v>1.2</v>
      </c>
      <c r="E31" s="72" t="n">
        <v>30</v>
      </c>
      <c r="F31" s="72" t="n">
        <v>31.2</v>
      </c>
      <c r="G31" s="69" t="n">
        <v>41</v>
      </c>
      <c r="H31" s="70" t="s">
        <v>176</v>
      </c>
    </row>
    <row r="32" customFormat="false" ht="36" hidden="false" customHeight="true" outlineLevel="0" collapsed="false">
      <c r="A32" s="73" t="s">
        <v>177</v>
      </c>
      <c r="B32" s="49" t="n">
        <v>0.93</v>
      </c>
      <c r="C32" s="48" t="s">
        <v>173</v>
      </c>
      <c r="D32" s="74" t="n">
        <v>6.5</v>
      </c>
      <c r="E32" s="75" t="n">
        <v>30</v>
      </c>
      <c r="F32" s="75" t="n">
        <v>36.5</v>
      </c>
      <c r="G32" s="69" t="n">
        <v>39</v>
      </c>
      <c r="H32" s="70" t="s">
        <v>178</v>
      </c>
    </row>
    <row r="33" customFormat="false" ht="36" hidden="false" customHeight="true" outlineLevel="0" collapsed="false">
      <c r="A33" s="60" t="s">
        <v>179</v>
      </c>
      <c r="B33" s="45" t="n">
        <v>0.85</v>
      </c>
      <c r="C33" s="44" t="s">
        <v>180</v>
      </c>
      <c r="D33" s="67" t="n">
        <v>0</v>
      </c>
      <c r="E33" s="68" t="n">
        <v>650</v>
      </c>
      <c r="F33" s="68" t="n">
        <v>650</v>
      </c>
      <c r="G33" s="69" t="n">
        <v>765</v>
      </c>
      <c r="H33" s="70" t="s">
        <v>181</v>
      </c>
    </row>
    <row r="34" customFormat="false" ht="36" hidden="false" customHeight="true" outlineLevel="0" collapsed="false">
      <c r="A34" s="76" t="s">
        <v>182</v>
      </c>
      <c r="B34" s="49" t="n">
        <v>0.65</v>
      </c>
      <c r="C34" s="48" t="s">
        <v>183</v>
      </c>
      <c r="D34" s="74" t="n">
        <v>0</v>
      </c>
      <c r="E34" s="75" t="n">
        <v>580</v>
      </c>
      <c r="F34" s="75" t="n">
        <v>580</v>
      </c>
      <c r="G34" s="77" t="n">
        <v>892</v>
      </c>
      <c r="H34" s="70" t="s">
        <v>184</v>
      </c>
    </row>
    <row r="35" customFormat="false" ht="36" hidden="false" customHeight="true" outlineLevel="0" collapsed="false">
      <c r="A35" s="78" t="s">
        <v>185</v>
      </c>
      <c r="B35" s="79" t="n">
        <v>0.42</v>
      </c>
      <c r="C35" s="50" t="s">
        <v>186</v>
      </c>
      <c r="D35" s="80" t="n">
        <v>0</v>
      </c>
      <c r="E35" s="81" t="n">
        <v>420</v>
      </c>
      <c r="F35" s="81" t="n">
        <v>420</v>
      </c>
      <c r="G35" s="77" t="n">
        <v>1000</v>
      </c>
      <c r="H35" s="70" t="s">
        <v>187</v>
      </c>
    </row>
    <row r="36" customFormat="false" ht="39.75" hidden="false" customHeight="true" outlineLevel="0" collapsed="false">
      <c r="A36" s="82" t="s">
        <v>188</v>
      </c>
      <c r="B36" s="82"/>
      <c r="C36" s="82"/>
      <c r="D36" s="82"/>
      <c r="E36" s="82"/>
      <c r="F36" s="82"/>
      <c r="G36" s="82"/>
      <c r="H36" s="82"/>
    </row>
  </sheetData>
  <mergeCells count="11">
    <mergeCell ref="A1:H1"/>
    <mergeCell ref="A2:H2"/>
    <mergeCell ref="A4:H4"/>
    <mergeCell ref="B5:C5"/>
    <mergeCell ref="D5:E5"/>
    <mergeCell ref="F5:G5"/>
    <mergeCell ref="A11:H11"/>
    <mergeCell ref="A13:H13"/>
    <mergeCell ref="A21:H21"/>
    <mergeCell ref="A28:H28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6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2" t="s">
        <v>189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83" t="s">
        <v>190</v>
      </c>
      <c r="B2" s="83"/>
      <c r="C2" s="83"/>
      <c r="D2" s="83"/>
      <c r="E2" s="83"/>
      <c r="F2" s="83"/>
      <c r="G2" s="83"/>
      <c r="H2" s="83"/>
    </row>
    <row r="3" customFormat="false" ht="7.5" hidden="false" customHeight="true" outlineLevel="0" collapsed="false"/>
    <row r="4" customFormat="false" ht="19.5" hidden="false" customHeight="true" outlineLevel="0" collapsed="false">
      <c r="A4" s="8" t="s">
        <v>191</v>
      </c>
      <c r="B4" s="8"/>
      <c r="C4" s="8"/>
      <c r="D4" s="8"/>
      <c r="E4" s="8"/>
      <c r="F4" s="8"/>
      <c r="G4" s="8"/>
      <c r="H4" s="8"/>
    </row>
    <row r="5" customFormat="false" ht="18" hidden="false" customHeight="true" outlineLevel="0" collapsed="false">
      <c r="A5" s="84" t="s">
        <v>192</v>
      </c>
      <c r="B5" s="17" t="s">
        <v>193</v>
      </c>
      <c r="C5" s="17" t="s">
        <v>194</v>
      </c>
      <c r="D5" s="17" t="s">
        <v>20</v>
      </c>
      <c r="E5" s="17"/>
      <c r="F5" s="17"/>
      <c r="G5" s="17"/>
      <c r="H5" s="17"/>
    </row>
    <row r="6" customFormat="false" ht="18" hidden="false" customHeight="true" outlineLevel="0" collapsed="false">
      <c r="A6" s="9" t="s">
        <v>195</v>
      </c>
      <c r="B6" s="10" t="n">
        <v>35</v>
      </c>
      <c r="C6" s="10" t="n">
        <v>5</v>
      </c>
      <c r="D6" s="85" t="s">
        <v>196</v>
      </c>
      <c r="E6" s="85"/>
      <c r="F6" s="85"/>
      <c r="G6" s="85"/>
      <c r="H6" s="85"/>
    </row>
    <row r="7" customFormat="false" ht="18" hidden="false" customHeight="true" outlineLevel="0" collapsed="false">
      <c r="A7" s="9" t="s">
        <v>197</v>
      </c>
      <c r="B7" s="10" t="n">
        <v>20</v>
      </c>
      <c r="C7" s="10" t="n">
        <v>7</v>
      </c>
      <c r="D7" s="85" t="s">
        <v>198</v>
      </c>
      <c r="E7" s="85"/>
      <c r="F7" s="85"/>
      <c r="G7" s="85"/>
      <c r="H7" s="85"/>
    </row>
    <row r="8" customFormat="false" ht="18" hidden="false" customHeight="true" outlineLevel="0" collapsed="false">
      <c r="A8" s="9" t="s">
        <v>199</v>
      </c>
      <c r="B8" s="10" t="n">
        <v>18</v>
      </c>
      <c r="C8" s="10" t="n">
        <v>3</v>
      </c>
      <c r="D8" s="85" t="s">
        <v>200</v>
      </c>
      <c r="E8" s="85"/>
      <c r="F8" s="85"/>
      <c r="G8" s="85"/>
      <c r="H8" s="85"/>
    </row>
    <row r="9" customFormat="false" ht="18" hidden="false" customHeight="true" outlineLevel="0" collapsed="false">
      <c r="A9" s="9" t="s">
        <v>201</v>
      </c>
      <c r="B9" s="10" t="n">
        <v>16</v>
      </c>
      <c r="C9" s="10" t="n">
        <v>5</v>
      </c>
      <c r="D9" s="85" t="s">
        <v>202</v>
      </c>
      <c r="E9" s="85"/>
      <c r="F9" s="85"/>
      <c r="G9" s="85"/>
      <c r="H9" s="85"/>
    </row>
    <row r="10" customFormat="false" ht="18" hidden="false" customHeight="true" outlineLevel="0" collapsed="false">
      <c r="A10" s="9" t="s">
        <v>203</v>
      </c>
      <c r="B10" s="10" t="n">
        <v>12</v>
      </c>
      <c r="C10" s="10" t="n">
        <v>3</v>
      </c>
      <c r="D10" s="85" t="s">
        <v>204</v>
      </c>
      <c r="E10" s="85"/>
      <c r="F10" s="85"/>
      <c r="G10" s="85"/>
      <c r="H10" s="85"/>
    </row>
    <row r="11" customFormat="false" ht="18" hidden="false" customHeight="true" outlineLevel="0" collapsed="false">
      <c r="A11" s="24" t="s">
        <v>205</v>
      </c>
      <c r="B11" s="86" t="n">
        <f aca="false">SUM(B6:B10)</f>
        <v>101</v>
      </c>
      <c r="C11" s="86" t="n">
        <f aca="false">SUM(C6:C10)</f>
        <v>23</v>
      </c>
      <c r="D11" s="85"/>
      <c r="E11" s="85"/>
      <c r="F11" s="85"/>
      <c r="G11" s="85"/>
      <c r="H11" s="85"/>
    </row>
    <row r="12" customFormat="false" ht="7.5" hidden="false" customHeight="true" outlineLevel="0" collapsed="false"/>
    <row r="13" customFormat="false" ht="19.5" hidden="false" customHeight="true" outlineLevel="0" collapsed="false">
      <c r="A13" s="8" t="s">
        <v>206</v>
      </c>
      <c r="B13" s="8"/>
      <c r="C13" s="8"/>
      <c r="D13" s="8"/>
      <c r="E13" s="8"/>
      <c r="F13" s="8"/>
      <c r="G13" s="8"/>
      <c r="H13" s="8"/>
    </row>
    <row r="14" customFormat="false" ht="48" hidden="false" customHeight="true" outlineLevel="0" collapsed="false">
      <c r="A14" s="41" t="s">
        <v>207</v>
      </c>
      <c r="B14" s="87" t="s">
        <v>208</v>
      </c>
      <c r="C14" s="88" t="s">
        <v>209</v>
      </c>
      <c r="D14" s="89" t="s">
        <v>210</v>
      </c>
      <c r="E14" s="90" t="s">
        <v>211</v>
      </c>
      <c r="F14" s="91" t="s">
        <v>20</v>
      </c>
      <c r="G14" s="91"/>
      <c r="H14" s="91"/>
    </row>
    <row r="15" customFormat="false" ht="7.5" hidden="false" customHeight="true" outlineLevel="0" collapsed="false"/>
    <row r="16" customFormat="false" ht="18" hidden="false" customHeight="true" outlineLevel="0" collapsed="false">
      <c r="A16" s="8" t="s">
        <v>212</v>
      </c>
      <c r="B16" s="8"/>
      <c r="C16" s="8"/>
      <c r="D16" s="8"/>
      <c r="E16" s="8"/>
      <c r="F16" s="8"/>
      <c r="G16" s="8"/>
      <c r="H16" s="8"/>
    </row>
    <row r="17" customFormat="false" ht="18" hidden="false" customHeight="true" outlineLevel="0" collapsed="false">
      <c r="A17" s="18" t="s">
        <v>213</v>
      </c>
      <c r="B17" s="29" t="n">
        <v>3</v>
      </c>
    </row>
    <row r="18" customFormat="false" ht="18" hidden="false" customHeight="true" outlineLevel="0" collapsed="false">
      <c r="A18" s="18" t="s">
        <v>214</v>
      </c>
      <c r="B18" s="29" t="n">
        <v>15</v>
      </c>
    </row>
    <row r="19" customFormat="false" ht="18" hidden="false" customHeight="true" outlineLevel="0" collapsed="false">
      <c r="A19" s="18" t="s">
        <v>215</v>
      </c>
      <c r="B19" s="29" t="n">
        <v>1</v>
      </c>
    </row>
    <row r="20" customFormat="false" ht="18" hidden="false" customHeight="true" outlineLevel="0" collapsed="false">
      <c r="A20" s="18" t="s">
        <v>216</v>
      </c>
      <c r="B20" s="29" t="n">
        <v>5</v>
      </c>
    </row>
    <row r="21" customFormat="false" ht="18" hidden="false" customHeight="true" outlineLevel="0" collapsed="false">
      <c r="A21" s="18" t="s">
        <v>217</v>
      </c>
      <c r="B21" s="12" t="n">
        <v>90</v>
      </c>
      <c r="C21" s="85" t="s">
        <v>218</v>
      </c>
      <c r="D21" s="85"/>
      <c r="E21" s="85"/>
      <c r="F21" s="85"/>
      <c r="G21" s="85"/>
      <c r="H21" s="85"/>
    </row>
    <row r="22" customFormat="false" ht="18" hidden="false" customHeight="true" outlineLevel="0" collapsed="false">
      <c r="A22" s="18" t="s">
        <v>219</v>
      </c>
      <c r="B22" s="12" t="n">
        <v>70</v>
      </c>
      <c r="C22" s="85" t="s">
        <v>220</v>
      </c>
      <c r="D22" s="85"/>
      <c r="E22" s="85"/>
      <c r="F22" s="85"/>
      <c r="G22" s="85"/>
      <c r="H22" s="85"/>
    </row>
    <row r="23" customFormat="false" ht="18" hidden="false" customHeight="true" outlineLevel="0" collapsed="false">
      <c r="A23" s="18" t="s">
        <v>221</v>
      </c>
      <c r="B23" s="12" t="n">
        <v>50</v>
      </c>
      <c r="C23" s="85" t="s">
        <v>222</v>
      </c>
      <c r="D23" s="85"/>
      <c r="E23" s="85"/>
      <c r="F23" s="85"/>
      <c r="G23" s="85"/>
      <c r="H23" s="85"/>
    </row>
    <row r="24" customFormat="false" ht="18" hidden="false" customHeight="true" outlineLevel="0" collapsed="false">
      <c r="A24" s="18" t="s">
        <v>67</v>
      </c>
      <c r="B24" s="20" t="n">
        <v>1.62</v>
      </c>
    </row>
    <row r="25" customFormat="false" ht="18" hidden="false" customHeight="true" outlineLevel="0" collapsed="false">
      <c r="A25" s="18" t="s">
        <v>223</v>
      </c>
      <c r="B25" s="92" t="s">
        <v>224</v>
      </c>
      <c r="C25" s="85" t="s">
        <v>225</v>
      </c>
      <c r="D25" s="85"/>
      <c r="E25" s="85"/>
      <c r="F25" s="85"/>
      <c r="G25" s="85"/>
      <c r="H25" s="85"/>
    </row>
    <row r="26" customFormat="false" ht="7.5" hidden="false" customHeight="true" outlineLevel="0" collapsed="false"/>
    <row r="27" customFormat="false" ht="18" hidden="false" customHeight="true" outlineLevel="0" collapsed="false">
      <c r="A27" s="8" t="s">
        <v>226</v>
      </c>
      <c r="B27" s="8"/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18" t="s">
        <v>227</v>
      </c>
      <c r="B28" s="30" t="n">
        <f aca="false">(B6/1000)*B17</f>
        <v>0.105</v>
      </c>
      <c r="C28" s="30" t="n">
        <f aca="false">(B6/1000)*(B17*((1-B22/100)+B22/100*(1-B21/100)))</f>
        <v>0.03885</v>
      </c>
      <c r="D28" s="30" t="n">
        <f aca="false">(B6/1000)*(B17*((1-B22/100)+B22/100*(1-B21/100)))*((100-B23)/100)</f>
        <v>0.019425</v>
      </c>
      <c r="E28" s="30" t="n">
        <f aca="false">(B6/1000)*B17</f>
        <v>0.105</v>
      </c>
      <c r="F28" s="85" t="s">
        <v>228</v>
      </c>
      <c r="G28" s="85"/>
      <c r="H28" s="85"/>
    </row>
    <row r="29" customFormat="false" ht="19.5" hidden="false" customHeight="true" outlineLevel="0" collapsed="false">
      <c r="A29" s="18" t="s">
        <v>229</v>
      </c>
      <c r="B29" s="30" t="n">
        <f aca="false">(C6/1000)*B18</f>
        <v>0.075</v>
      </c>
      <c r="C29" s="30" t="n">
        <f aca="false">(C6/1000)*B18</f>
        <v>0.075</v>
      </c>
      <c r="D29" s="30" t="n">
        <f aca="false">(C6/1000)*B18*((100-B23)/100)</f>
        <v>0.0375</v>
      </c>
      <c r="E29" s="30" t="n">
        <f aca="false">(C6/1000)*B18</f>
        <v>0.075</v>
      </c>
      <c r="F29" s="85" t="s">
        <v>230</v>
      </c>
      <c r="G29" s="85"/>
      <c r="H29" s="85"/>
    </row>
    <row r="30" customFormat="false" ht="19.5" hidden="false" customHeight="true" outlineLevel="0" collapsed="false">
      <c r="A30" s="18" t="s">
        <v>231</v>
      </c>
      <c r="B30" s="30" t="n">
        <f aca="false">((B7+B8+B9+B10)/1000)*B17</f>
        <v>0.198</v>
      </c>
      <c r="C30" s="30" t="n">
        <f aca="false">((B7+B8+B9+B10)/1000)*(B19*((1-B22/100)+B22/100*(1-B21/100)))</f>
        <v>0.02442</v>
      </c>
      <c r="D30" s="30" t="n">
        <f aca="false">((B7+B8+B9+B10)/1000)*(B19*((1-B22/100)+B22/100*(1-B21/100)))*((100-B23)/100)</f>
        <v>0.01221</v>
      </c>
      <c r="E30" s="30" t="n">
        <f aca="false">((B7+B8+B9+B10)/1000)*B17</f>
        <v>0.198</v>
      </c>
      <c r="F30" s="85" t="s">
        <v>232</v>
      </c>
      <c r="G30" s="85"/>
      <c r="H30" s="85"/>
    </row>
    <row r="31" customFormat="false" ht="19.5" hidden="false" customHeight="true" outlineLevel="0" collapsed="false">
      <c r="A31" s="18" t="s">
        <v>233</v>
      </c>
      <c r="B31" s="30" t="n">
        <f aca="false">((C7+C8+C9+C10)/1000)*B20</f>
        <v>0.09</v>
      </c>
      <c r="C31" s="30" t="n">
        <f aca="false">((C7+C8+C9+C10)/1000)*B20</f>
        <v>0.09</v>
      </c>
      <c r="D31" s="30" t="n">
        <f aca="false">((C7+C8+C9+C10)/1000)*B20*((100-B23)/100)</f>
        <v>0.045</v>
      </c>
      <c r="E31" s="30" t="n">
        <f aca="false">((C7+C8+C9+C10)/1000)*B18</f>
        <v>0.27</v>
      </c>
      <c r="F31" s="85"/>
      <c r="G31" s="85"/>
      <c r="H31" s="85"/>
    </row>
    <row r="32" customFormat="false" ht="19.5" hidden="false" customHeight="true" outlineLevel="0" collapsed="false">
      <c r="A32" s="24" t="s">
        <v>234</v>
      </c>
      <c r="B32" s="93" t="n">
        <f aca="false">SUM(B28:B31)</f>
        <v>0.468</v>
      </c>
      <c r="C32" s="93" t="n">
        <f aca="false">SUM(C28:C31)</f>
        <v>0.22827</v>
      </c>
      <c r="D32" s="93" t="n">
        <f aca="false">SUM(D28:D31)</f>
        <v>0.114135</v>
      </c>
      <c r="E32" s="93" t="n">
        <f aca="false">SUM(E28:E31)</f>
        <v>0.648</v>
      </c>
    </row>
    <row r="33" customFormat="false" ht="21.75" hidden="false" customHeight="true" outlineLevel="0" collapsed="false">
      <c r="A33" s="24" t="s">
        <v>235</v>
      </c>
      <c r="B33" s="94" t="n">
        <f aca="false">B32*B24</f>
        <v>0.75816</v>
      </c>
      <c r="C33" s="94" t="n">
        <f aca="false">C32*B24</f>
        <v>0.3697974</v>
      </c>
      <c r="D33" s="94" t="n">
        <f aca="false">D32*B24</f>
        <v>0.1848987</v>
      </c>
      <c r="E33" s="94" t="n">
        <f aca="false">E32*B24</f>
        <v>1.04976</v>
      </c>
    </row>
    <row r="34" customFormat="false" ht="7.5" hidden="false" customHeight="true" outlineLevel="0" collapsed="false"/>
    <row r="35" customFormat="false" ht="19.5" hidden="false" customHeight="true" outlineLevel="0" collapsed="false">
      <c r="A35" s="8" t="s">
        <v>236</v>
      </c>
      <c r="B35" s="8"/>
      <c r="C35" s="8"/>
      <c r="D35" s="8"/>
      <c r="E35" s="8"/>
      <c r="F35" s="8"/>
      <c r="G35" s="8"/>
      <c r="H35" s="8"/>
    </row>
    <row r="36" customFormat="false" ht="48" hidden="false" customHeight="true" outlineLevel="0" collapsed="false">
      <c r="A36" s="41" t="s">
        <v>237</v>
      </c>
      <c r="B36" s="87" t="s">
        <v>208</v>
      </c>
      <c r="C36" s="88" t="s">
        <v>209</v>
      </c>
      <c r="D36" s="89" t="s">
        <v>238</v>
      </c>
      <c r="E36" s="90" t="s">
        <v>239</v>
      </c>
      <c r="F36" s="91" t="s">
        <v>20</v>
      </c>
      <c r="G36" s="91"/>
      <c r="H36" s="91"/>
    </row>
    <row r="37" customFormat="false" ht="21.75" hidden="false" customHeight="true" outlineLevel="0" collapsed="false">
      <c r="A37" s="9" t="s">
        <v>240</v>
      </c>
      <c r="B37" s="95" t="n">
        <f aca="false">B33</f>
        <v>0.75816</v>
      </c>
      <c r="C37" s="95" t="n">
        <f aca="false">C33</f>
        <v>0.3697974</v>
      </c>
      <c r="D37" s="95" t="n">
        <f aca="false">D33</f>
        <v>0.1848987</v>
      </c>
      <c r="E37" s="95" t="n">
        <f aca="false">E33</f>
        <v>1.04976</v>
      </c>
      <c r="F37" s="85" t="s">
        <v>241</v>
      </c>
      <c r="G37" s="85"/>
      <c r="H37" s="85"/>
    </row>
    <row r="38" customFormat="false" ht="21.75" hidden="false" customHeight="true" outlineLevel="0" collapsed="false">
      <c r="A38" s="9" t="s">
        <v>242</v>
      </c>
      <c r="B38" s="95" t="n">
        <f aca="false">Assumptions!B32*(0.6)</f>
        <v>564.3</v>
      </c>
      <c r="C38" s="95" t="n">
        <f aca="false">Assumptions!B32*(0.6)</f>
        <v>564.3</v>
      </c>
      <c r="D38" s="95" t="n">
        <f aca="false">Assumptions!B32*(0.6)</f>
        <v>564.3</v>
      </c>
      <c r="E38" s="95" t="n">
        <f aca="false">Assumptions!B32*(0.6)</f>
        <v>564.3</v>
      </c>
      <c r="F38" s="85" t="s">
        <v>243</v>
      </c>
      <c r="G38" s="85"/>
      <c r="H38" s="85"/>
    </row>
    <row r="39" customFormat="false" ht="21.75" hidden="false" customHeight="true" outlineLevel="0" collapsed="false">
      <c r="A39" s="9" t="s">
        <v>244</v>
      </c>
      <c r="B39" s="95" t="n">
        <f aca="false">0.5*Assumptions!B17*Assumptions!B11</f>
        <v>87.75</v>
      </c>
      <c r="C39" s="95" t="n">
        <f aca="false">0.5*Assumptions!B17*Assumptions!B11</f>
        <v>87.75</v>
      </c>
      <c r="D39" s="95" t="n">
        <f aca="false">0.5*Assumptions!B17*Assumptions!B11</f>
        <v>87.75</v>
      </c>
      <c r="E39" s="95" t="n">
        <f aca="false">0.5*Assumptions!B17*Assumptions!B11</f>
        <v>87.75</v>
      </c>
      <c r="F39" s="85" t="s">
        <v>245</v>
      </c>
      <c r="G39" s="85"/>
      <c r="H39" s="85"/>
    </row>
    <row r="40" customFormat="false" ht="21.75" hidden="false" customHeight="true" outlineLevel="0" collapsed="false">
      <c r="A40" s="24" t="s">
        <v>235</v>
      </c>
      <c r="B40" s="96" t="n">
        <f aca="false">B37+B39</f>
        <v>88.50816</v>
      </c>
      <c r="C40" s="96" t="n">
        <f aca="false">C37+C39</f>
        <v>88.1197974</v>
      </c>
      <c r="D40" s="96" t="n">
        <f aca="false">D37+D39</f>
        <v>87.9348987</v>
      </c>
      <c r="E40" s="96" t="n">
        <f aca="false">E37+E39</f>
        <v>88.79976</v>
      </c>
      <c r="F40" s="85" t="s">
        <v>246</v>
      </c>
      <c r="G40" s="85"/>
      <c r="H40" s="85"/>
    </row>
    <row r="41" customFormat="false" ht="21.75" hidden="false" customHeight="true" outlineLevel="0" collapsed="false">
      <c r="A41" s="24" t="s">
        <v>247</v>
      </c>
      <c r="B41" s="94" t="n">
        <f aca="false">B38-B40</f>
        <v>475.79184</v>
      </c>
      <c r="C41" s="94" t="n">
        <f aca="false">C38-C40</f>
        <v>476.1802026</v>
      </c>
      <c r="D41" s="94" t="n">
        <f aca="false">D38-D40</f>
        <v>476.3651013</v>
      </c>
      <c r="E41" s="94" t="n">
        <f aca="false">E38-E40</f>
        <v>475.50024</v>
      </c>
      <c r="F41" s="85" t="s">
        <v>248</v>
      </c>
      <c r="G41" s="85"/>
      <c r="H41" s="85"/>
    </row>
    <row r="42" customFormat="false" ht="21.75" hidden="false" customHeight="true" outlineLevel="0" collapsed="false">
      <c r="A42" s="9" t="s">
        <v>249</v>
      </c>
      <c r="B42" s="97" t="n">
        <f aca="false">IF(B40=0,"n/a",B41/B40)</f>
        <v>5.37568332682546</v>
      </c>
      <c r="C42" s="97" t="n">
        <f aca="false">IF(C40=0,"n/a",C41/C40)</f>
        <v>5.40378231282679</v>
      </c>
      <c r="D42" s="97" t="n">
        <f aca="false">IF(D40=0,"n/a",D41/D40)</f>
        <v>5.41724739941049</v>
      </c>
      <c r="E42" s="97" t="n">
        <f aca="false">IF(E40=0,"n/a",E41/E40)</f>
        <v>5.35474690472136</v>
      </c>
      <c r="F42" s="85" t="s">
        <v>250</v>
      </c>
      <c r="G42" s="85"/>
      <c r="H42" s="85"/>
    </row>
    <row r="43" customFormat="false" ht="21.75" hidden="false" customHeight="true" outlineLevel="0" collapsed="false">
      <c r="A43" s="24" t="s">
        <v>251</v>
      </c>
      <c r="B43" s="98" t="str">
        <f aca="false">IF(B41&gt;0,"✓ YES","✗ NO")</f>
        <v>✓ YES</v>
      </c>
      <c r="C43" s="98" t="str">
        <f aca="false">IF(C41&gt;0,"✓ YES","✗ NO")</f>
        <v>✓ YES</v>
      </c>
      <c r="D43" s="98" t="str">
        <f aca="false">IF(D41&gt;0,"✓ YES","✗ NO")</f>
        <v>✓ YES</v>
      </c>
      <c r="E43" s="98" t="str">
        <f aca="false">IF(E41&gt;0,"✓ YES","✗ NO")</f>
        <v>✓ YES</v>
      </c>
      <c r="F43" s="85" t="s">
        <v>252</v>
      </c>
      <c r="G43" s="85"/>
      <c r="H43" s="85"/>
    </row>
    <row r="44" customFormat="false" ht="21.75" hidden="false" customHeight="true" outlineLevel="0" collapsed="false">
      <c r="A44" s="24" t="s">
        <v>253</v>
      </c>
      <c r="B44" s="99" t="n">
        <f aca="false">B41*Assumptions!B7*Assumptions!B8*0.6</f>
        <v>114190.0416</v>
      </c>
      <c r="C44" s="99" t="n">
        <f aca="false">C41*Assumptions!B7*Assumptions!B8*0.6</f>
        <v>114283.248624</v>
      </c>
      <c r="D44" s="99" t="n">
        <f aca="false">D41*Assumptions!B7*Assumptions!B8*0.6</f>
        <v>114327.624312</v>
      </c>
      <c r="E44" s="99" t="n">
        <f aca="false">E41*Assumptions!B7*Assumptions!B8*0.6</f>
        <v>114120.0576</v>
      </c>
      <c r="F44" s="85" t="s">
        <v>254</v>
      </c>
      <c r="G44" s="85"/>
      <c r="H44" s="85"/>
    </row>
    <row r="45" customFormat="false" ht="7.5" hidden="false" customHeight="true" outlineLevel="0" collapsed="false"/>
    <row r="46" customFormat="false" ht="55.5" hidden="false" customHeight="true" outlineLevel="0" collapsed="false">
      <c r="A46" s="82" t="s">
        <v>255</v>
      </c>
      <c r="B46" s="82"/>
      <c r="C46" s="82"/>
      <c r="D46" s="82"/>
      <c r="E46" s="82"/>
      <c r="F46" s="82"/>
      <c r="G46" s="82"/>
      <c r="H46" s="82"/>
    </row>
  </sheetData>
  <mergeCells count="33">
    <mergeCell ref="A1:H1"/>
    <mergeCell ref="A2:H2"/>
    <mergeCell ref="A4:H4"/>
    <mergeCell ref="D5:H5"/>
    <mergeCell ref="D6:H6"/>
    <mergeCell ref="D7:H7"/>
    <mergeCell ref="D8:H8"/>
    <mergeCell ref="D9:H9"/>
    <mergeCell ref="D10:H10"/>
    <mergeCell ref="D11:H11"/>
    <mergeCell ref="A13:H13"/>
    <mergeCell ref="F14:H14"/>
    <mergeCell ref="A16:H16"/>
    <mergeCell ref="C21:H21"/>
    <mergeCell ref="C22:H22"/>
    <mergeCell ref="C23:H23"/>
    <mergeCell ref="C25:H25"/>
    <mergeCell ref="A27:H27"/>
    <mergeCell ref="F28:H28"/>
    <mergeCell ref="F29:H29"/>
    <mergeCell ref="F30:H30"/>
    <mergeCell ref="F31:H31"/>
    <mergeCell ref="A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6"/>
  </cols>
  <sheetData>
    <row r="1" customFormat="false" ht="27.75" hidden="false" customHeight="true" outlineLevel="0" collapsed="false">
      <c r="A1" s="2" t="s">
        <v>256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41" t="s">
        <v>237</v>
      </c>
      <c r="B2" s="100" t="s">
        <v>257</v>
      </c>
      <c r="C2" s="101" t="s">
        <v>258</v>
      </c>
      <c r="D2" s="102" t="s">
        <v>259</v>
      </c>
      <c r="E2" s="103" t="s">
        <v>260</v>
      </c>
    </row>
    <row r="3" customFormat="false" ht="15" hidden="false" customHeight="true" outlineLevel="0" collapsed="false">
      <c r="A3" s="3" t="s">
        <v>261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9" t="s">
        <v>262</v>
      </c>
      <c r="B4" s="12" t="n">
        <v>40</v>
      </c>
      <c r="C4" s="104" t="n">
        <f aca="false">Assumptions!B9*100</f>
        <v>6000</v>
      </c>
      <c r="D4" s="12" t="n">
        <v>80</v>
      </c>
      <c r="E4" s="12" t="n">
        <f aca="false">Assumptions!B9*100</f>
        <v>6000</v>
      </c>
    </row>
    <row r="5" customFormat="false" ht="18" hidden="false" customHeight="true" outlineLevel="0" collapsed="false">
      <c r="A5" s="9" t="s">
        <v>59</v>
      </c>
      <c r="B5" s="12" t="n">
        <v>40</v>
      </c>
      <c r="C5" s="104" t="n">
        <f aca="false">Assumptions!B28</f>
        <v>1.5</v>
      </c>
      <c r="D5" s="12" t="n">
        <v>85</v>
      </c>
      <c r="E5" s="12" t="n">
        <v>0</v>
      </c>
    </row>
    <row r="6" customFormat="false" ht="18" hidden="false" customHeight="true" outlineLevel="0" collapsed="false">
      <c r="A6" s="9" t="s">
        <v>263</v>
      </c>
      <c r="B6" s="25" t="n">
        <v>1.5</v>
      </c>
      <c r="C6" s="105" t="n">
        <f aca="false">Assumptions!B49</f>
        <v>0</v>
      </c>
      <c r="D6" s="25" t="n">
        <v>3.5</v>
      </c>
      <c r="E6" s="25" t="n">
        <f aca="false">Assumptions!B49</f>
        <v>0</v>
      </c>
    </row>
    <row r="7" customFormat="false" ht="18" hidden="false" customHeight="true" outlineLevel="0" collapsed="false">
      <c r="A7" s="9" t="s">
        <v>264</v>
      </c>
      <c r="B7" s="25" t="n">
        <v>1</v>
      </c>
      <c r="C7" s="105" t="n">
        <f aca="false">Assumptions!B48</f>
        <v>1.62</v>
      </c>
      <c r="D7" s="25" t="n">
        <v>0.25</v>
      </c>
      <c r="E7" s="25" t="n">
        <f aca="false">Assumptions!B48</f>
        <v>1.62</v>
      </c>
    </row>
    <row r="8" customFormat="false" ht="18" hidden="false" customHeight="true" outlineLevel="0" collapsed="false">
      <c r="A8" s="9" t="s">
        <v>265</v>
      </c>
      <c r="B8" s="19" t="n">
        <v>100</v>
      </c>
      <c r="C8" s="14" t="n">
        <f aca="false">Assumptions!B10</f>
        <v>108.333333333333</v>
      </c>
      <c r="D8" s="19" t="n">
        <v>130</v>
      </c>
      <c r="E8" s="19" t="n">
        <f aca="false">Assumptions!B10</f>
        <v>108.333333333333</v>
      </c>
    </row>
    <row r="9" customFormat="false" ht="18" hidden="false" customHeight="true" outlineLevel="0" collapsed="false">
      <c r="A9" s="9" t="s">
        <v>266</v>
      </c>
      <c r="B9" s="10" t="n">
        <v>50</v>
      </c>
      <c r="C9" s="106" t="n">
        <f aca="false">Assumptions!B22</f>
        <v>130</v>
      </c>
      <c r="D9" s="10" t="n">
        <v>20</v>
      </c>
      <c r="E9" s="10" t="n">
        <v>50</v>
      </c>
    </row>
    <row r="10" customFormat="false" ht="18" hidden="false" customHeight="true" outlineLevel="0" collapsed="false">
      <c r="A10" s="9" t="s">
        <v>267</v>
      </c>
      <c r="B10" s="92" t="s">
        <v>268</v>
      </c>
      <c r="C10" s="107" t="s">
        <v>269</v>
      </c>
      <c r="D10" s="92" t="s">
        <v>269</v>
      </c>
      <c r="E10" s="92" t="s">
        <v>268</v>
      </c>
    </row>
    <row r="11" customFormat="false" ht="18" hidden="false" customHeight="true" outlineLevel="0" collapsed="false">
      <c r="A11" s="9" t="s">
        <v>270</v>
      </c>
      <c r="B11" s="10" t="n">
        <v>0</v>
      </c>
      <c r="C11" s="106" t="n">
        <f aca="false">Assumptions!B24+Assumptions!B26</f>
        <v>121.35</v>
      </c>
      <c r="D11" s="10" t="n">
        <v>38</v>
      </c>
      <c r="E11" s="10" t="n">
        <v>0</v>
      </c>
    </row>
    <row r="12" customFormat="false" ht="6" hidden="false" customHeight="true" outlineLevel="0" collapsed="false"/>
    <row r="13" customFormat="false" ht="19.5" hidden="false" customHeight="true" outlineLevel="0" collapsed="false">
      <c r="A13" s="8" t="s">
        <v>271</v>
      </c>
      <c r="B13" s="8"/>
      <c r="C13" s="8"/>
      <c r="D13" s="8"/>
      <c r="E13" s="8"/>
    </row>
    <row r="14" customFormat="false" ht="19.5" hidden="false" customHeight="true" outlineLevel="0" collapsed="false">
      <c r="A14" s="24" t="s">
        <v>272</v>
      </c>
      <c r="B14" s="96" t="n">
        <f aca="false">((B9/1000)*(Assumptions!$B$29*((1-B5/100)+B5/100*(1-Assumptions!$B$33/100)))+(Assumptions!$B$23/1000)*Assumptions!$B$30+(38/1000)*(Assumptions!$B$29*((1-B5/100)+B5/100*(1-Assumptions!$B$33/100)))+((Assumptions!$B$25+Assumptions!$B$27)/1000)*Assumptions!$B$30)*Assumptions!$B$34</f>
        <v>-0</v>
      </c>
      <c r="C14" s="96" t="n">
        <f aca="false">((C9/1000)*(Assumptions!$B$29*((1-C5/100)+C5/100*(1-Assumptions!$B$33/100)))+(Assumptions!$B$23/1000)*Assumptions!$B$30+(C11/1000)*(Assumptions!$B$31*((1-C5/100)+C5/100*(1-Assumptions!$B$33/100)))+((Assumptions!$B$25+Assumptions!$B$27)/1000)*Assumptions!$B$32)*Assumptions!$B$34</f>
        <v>-0</v>
      </c>
      <c r="D14" s="96" t="n">
        <f aca="false">((D9/1000)*(Assumptions!$B$29*((1-D5/100)+D5/100*(1-Assumptions!$B$33/100)))+(Assumptions!$B$23/1000)*Assumptions!$B$30+(D11/1000)*(Assumptions!$B$31*((1-D5/100)+D5/100*(1-Assumptions!$B$33/100)))+((Assumptions!$B$25+Assumptions!$B$27)/1000)*Assumptions!$B$32)*Assumptions!$B$34</f>
        <v>-0</v>
      </c>
      <c r="E14" s="96" t="n">
        <f aca="false">((E9/1000)*(Assumptions!$B$29*((1-E5/100)+E5/100*(1-Assumptions!$B$33/100)))+(Assumptions!$B$23/1000)*Assumptions!$B$30+(38/1000)*(Assumptions!$B$29*((1-E5/100)+E5/100*(1-Assumptions!$B$33/100)))+((Assumptions!$B$25+Assumptions!$B$27)/1000)*Assumptions!$B$30)*Assumptions!$B$34</f>
        <v>0</v>
      </c>
    </row>
    <row r="15" customFormat="false" ht="19.5" hidden="false" customHeight="true" outlineLevel="0" collapsed="false">
      <c r="A15" s="24" t="s">
        <v>273</v>
      </c>
      <c r="B15" s="33" t="n">
        <f aca="false">(B6-B7)*B8*Assumptions!$B$11</f>
        <v>67.5</v>
      </c>
      <c r="C15" s="33" t="n">
        <f aca="false">(C6-C7)*C8*Assumptions!$B$11</f>
        <v>-236.925</v>
      </c>
      <c r="D15" s="33" t="n">
        <f aca="false">(D6-D7)*D8*Assumptions!$B$11</f>
        <v>570.375</v>
      </c>
      <c r="E15" s="33" t="n">
        <f aca="false">(E6-E7)*E8*Assumptions!$B$11</f>
        <v>-236.925</v>
      </c>
    </row>
    <row r="16" customFormat="false" ht="19.5" hidden="false" customHeight="true" outlineLevel="0" collapsed="false">
      <c r="A16" s="24" t="s">
        <v>85</v>
      </c>
      <c r="B16" s="33" t="n">
        <f aca="false">B15-B14</f>
        <v>67.5</v>
      </c>
      <c r="C16" s="33" t="n">
        <f aca="false">C15-C14</f>
        <v>-236.925</v>
      </c>
      <c r="D16" s="33" t="n">
        <f aca="false">D15-D14</f>
        <v>570.375</v>
      </c>
      <c r="E16" s="33" t="n">
        <f aca="false">E15-E14</f>
        <v>-236.925</v>
      </c>
    </row>
    <row r="17" customFormat="false" ht="19.5" hidden="false" customHeight="true" outlineLevel="0" collapsed="false">
      <c r="A17" s="24" t="s">
        <v>87</v>
      </c>
      <c r="B17" s="108" t="str">
        <f aca="false">IF(B14=0,"n/a",B16/B14)</f>
        <v>n/a</v>
      </c>
      <c r="C17" s="108" t="str">
        <f aca="false">IF(C14=0,"n/a",C16/C14)</f>
        <v>n/a</v>
      </c>
      <c r="D17" s="108" t="str">
        <f aca="false">IF(D14=0,"n/a",D16/D14)</f>
        <v>n/a</v>
      </c>
      <c r="E17" s="108" t="str">
        <f aca="false">IF(E14=0,"n/a",E16/E14)</f>
        <v>n/a</v>
      </c>
    </row>
    <row r="18" customFormat="false" ht="19.5" hidden="false" customHeight="true" outlineLevel="0" collapsed="false">
      <c r="A18" s="24" t="s">
        <v>274</v>
      </c>
      <c r="B18" s="38" t="n">
        <f aca="false">Assumptions!$B$7*Assumptions!$B$8*(B4/100)</f>
        <v>160</v>
      </c>
      <c r="C18" s="38" t="n">
        <f aca="false">Assumptions!$B$7*Assumptions!$B$8*(C4/100)</f>
        <v>24000</v>
      </c>
      <c r="D18" s="38" t="n">
        <f aca="false">Assumptions!$B$7*Assumptions!$B$8*(D4/100)</f>
        <v>320</v>
      </c>
      <c r="E18" s="38" t="n">
        <f aca="false">Assumptions!$B$7*Assumptions!$B$8*(E4/100)</f>
        <v>24000</v>
      </c>
    </row>
    <row r="19" customFormat="false" ht="19.5" hidden="false" customHeight="true" outlineLevel="0" collapsed="false">
      <c r="A19" s="24" t="s">
        <v>89</v>
      </c>
      <c r="B19" s="39" t="n">
        <f aca="false">B14*B18</f>
        <v>-0</v>
      </c>
      <c r="C19" s="39" t="n">
        <f aca="false">C14*C18</f>
        <v>-0</v>
      </c>
      <c r="D19" s="39" t="n">
        <f aca="false">D14*D18</f>
        <v>-0</v>
      </c>
      <c r="E19" s="39" t="n">
        <f aca="false">E14*E18</f>
        <v>0</v>
      </c>
    </row>
    <row r="20" customFormat="false" ht="19.5" hidden="false" customHeight="true" outlineLevel="0" collapsed="false">
      <c r="A20" s="24" t="s">
        <v>90</v>
      </c>
      <c r="B20" s="27" t="n">
        <f aca="false">B15*B18</f>
        <v>10800</v>
      </c>
      <c r="C20" s="27" t="n">
        <f aca="false">C15*C18</f>
        <v>-5686200</v>
      </c>
      <c r="D20" s="27" t="n">
        <f aca="false">D15*D18</f>
        <v>182520</v>
      </c>
      <c r="E20" s="27" t="n">
        <f aca="false">E15*E18</f>
        <v>-5686200</v>
      </c>
    </row>
    <row r="21" customFormat="false" ht="19.5" hidden="false" customHeight="true" outlineLevel="0" collapsed="false">
      <c r="A21" s="24" t="s">
        <v>91</v>
      </c>
      <c r="B21" s="27" t="n">
        <f aca="false">B20-B19</f>
        <v>10800</v>
      </c>
      <c r="C21" s="27" t="n">
        <f aca="false">C20-C19</f>
        <v>-5686200</v>
      </c>
      <c r="D21" s="27" t="n">
        <f aca="false">D20-D19</f>
        <v>182520</v>
      </c>
      <c r="E21" s="27" t="n">
        <f aca="false">E20-E19</f>
        <v>-5686200</v>
      </c>
    </row>
    <row r="22" customFormat="false" ht="19.5" hidden="false" customHeight="true" outlineLevel="0" collapsed="false">
      <c r="A22" s="24" t="s">
        <v>92</v>
      </c>
      <c r="B22" s="27" t="n">
        <f aca="false">B21*12</f>
        <v>129600</v>
      </c>
      <c r="C22" s="27" t="n">
        <f aca="false">C21*12</f>
        <v>-68234400</v>
      </c>
      <c r="D22" s="27" t="n">
        <f aca="false">D21*12</f>
        <v>2190240</v>
      </c>
      <c r="E22" s="27" t="n">
        <f aca="false">E21*12</f>
        <v>-68234400</v>
      </c>
    </row>
  </sheetData>
  <mergeCells count="3">
    <mergeCell ref="A1:F1"/>
    <mergeCell ref="A3:F3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6"/>
  </cols>
  <sheetData>
    <row r="1" customFormat="false" ht="27.75" hidden="false" customHeight="true" outlineLevel="0" collapsed="false">
      <c r="A1" s="2" t="s">
        <v>275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276</v>
      </c>
      <c r="B2" s="3"/>
      <c r="C2" s="3"/>
      <c r="D2" s="3"/>
      <c r="E2" s="3"/>
    </row>
    <row r="4" customFormat="false" ht="19.5" hidden="false" customHeight="true" outlineLevel="0" collapsed="false">
      <c r="A4" s="24" t="s">
        <v>277</v>
      </c>
      <c r="B4" s="109" t="s">
        <v>278</v>
      </c>
      <c r="C4" s="109" t="s">
        <v>279</v>
      </c>
      <c r="D4" s="109" t="s">
        <v>280</v>
      </c>
      <c r="E4" s="109" t="s">
        <v>281</v>
      </c>
    </row>
    <row r="5" customFormat="false" ht="18" hidden="false" customHeight="true" outlineLevel="0" collapsed="false">
      <c r="A5" s="110" t="n">
        <v>0.5</v>
      </c>
      <c r="B5" s="111" t="n">
        <f aca="false">A5/(80*Assumptions!$B$11)</f>
        <v>0.00462962962962963</v>
      </c>
      <c r="C5" s="111" t="n">
        <f aca="false">A5/(100*Assumptions!$B$11)</f>
        <v>0.0037037037037037</v>
      </c>
      <c r="D5" s="111" t="n">
        <f aca="false">A5/(120*Assumptions!$B$11)</f>
        <v>0.00308641975308642</v>
      </c>
      <c r="E5" s="111" t="n">
        <f aca="false">A5/(150*Assumptions!$B$11)</f>
        <v>0.00246913580246914</v>
      </c>
    </row>
    <row r="6" customFormat="false" ht="18" hidden="false" customHeight="true" outlineLevel="0" collapsed="false">
      <c r="A6" s="110" t="n">
        <v>1</v>
      </c>
      <c r="B6" s="111" t="n">
        <f aca="false">A6/(80*Assumptions!$B$11)</f>
        <v>0.00925925925925926</v>
      </c>
      <c r="C6" s="111" t="n">
        <f aca="false">A6/(100*Assumptions!$B$11)</f>
        <v>0.00740740740740741</v>
      </c>
      <c r="D6" s="111" t="n">
        <f aca="false">A6/(120*Assumptions!$B$11)</f>
        <v>0.00617283950617284</v>
      </c>
      <c r="E6" s="111" t="n">
        <f aca="false">A6/(150*Assumptions!$B$11)</f>
        <v>0.00493827160493827</v>
      </c>
    </row>
    <row r="7" customFormat="false" ht="18" hidden="false" customHeight="true" outlineLevel="0" collapsed="false">
      <c r="A7" s="110" t="n">
        <v>1.5</v>
      </c>
      <c r="B7" s="111" t="n">
        <f aca="false">A7/(80*Assumptions!$B$11)</f>
        <v>0.0138888888888889</v>
      </c>
      <c r="C7" s="111" t="n">
        <f aca="false">A7/(100*Assumptions!$B$11)</f>
        <v>0.0111111111111111</v>
      </c>
      <c r="D7" s="111" t="n">
        <f aca="false">A7/(120*Assumptions!$B$11)</f>
        <v>0.00925925925925926</v>
      </c>
      <c r="E7" s="111" t="n">
        <f aca="false">A7/(150*Assumptions!$B$11)</f>
        <v>0.00740740740740741</v>
      </c>
    </row>
    <row r="8" customFormat="false" ht="18" hidden="false" customHeight="true" outlineLevel="0" collapsed="false">
      <c r="A8" s="110" t="n">
        <v>2</v>
      </c>
      <c r="B8" s="111" t="n">
        <f aca="false">A8/(80*Assumptions!$B$11)</f>
        <v>0.0185185185185185</v>
      </c>
      <c r="C8" s="111" t="n">
        <f aca="false">A8/(100*Assumptions!$B$11)</f>
        <v>0.0148148148148148</v>
      </c>
      <c r="D8" s="111" t="n">
        <f aca="false">A8/(120*Assumptions!$B$11)</f>
        <v>0.0123456790123457</v>
      </c>
      <c r="E8" s="111" t="n">
        <f aca="false">A8/(150*Assumptions!$B$11)</f>
        <v>0.00987654320987654</v>
      </c>
    </row>
    <row r="9" customFormat="false" ht="18" hidden="false" customHeight="true" outlineLevel="0" collapsed="false">
      <c r="A9" s="110" t="n">
        <v>3</v>
      </c>
      <c r="B9" s="111" t="n">
        <f aca="false">A9/(80*Assumptions!$B$11)</f>
        <v>0.0277777777777778</v>
      </c>
      <c r="C9" s="111" t="n">
        <f aca="false">A9/(100*Assumptions!$B$11)</f>
        <v>0.0222222222222222</v>
      </c>
      <c r="D9" s="111" t="n">
        <f aca="false">A9/(120*Assumptions!$B$11)</f>
        <v>0.0185185185185185</v>
      </c>
      <c r="E9" s="111" t="n">
        <f aca="false">A9/(150*Assumptions!$B$11)</f>
        <v>0.0148148148148148</v>
      </c>
    </row>
    <row r="10" customFormat="false" ht="18" hidden="false" customHeight="true" outlineLevel="0" collapsed="false">
      <c r="A10" s="110" t="n">
        <v>4</v>
      </c>
      <c r="B10" s="111" t="n">
        <f aca="false">A10/(80*Assumptions!$B$11)</f>
        <v>0.037037037037037</v>
      </c>
      <c r="C10" s="111" t="n">
        <f aca="false">A10/(100*Assumptions!$B$11)</f>
        <v>0.0296296296296296</v>
      </c>
      <c r="D10" s="111" t="n">
        <f aca="false">A10/(120*Assumptions!$B$11)</f>
        <v>0.0246913580246914</v>
      </c>
      <c r="E10" s="111" t="n">
        <f aca="false">A10/(150*Assumptions!$B$11)</f>
        <v>0.0197530864197531</v>
      </c>
    </row>
    <row r="11" customFormat="false" ht="18" hidden="false" customHeight="true" outlineLevel="0" collapsed="false">
      <c r="A11" s="110" t="n">
        <v>5</v>
      </c>
      <c r="B11" s="111" t="n">
        <f aca="false">A11/(80*Assumptions!$B$11)</f>
        <v>0.0462962962962963</v>
      </c>
      <c r="C11" s="111" t="n">
        <f aca="false">A11/(100*Assumptions!$B$11)</f>
        <v>0.037037037037037</v>
      </c>
      <c r="D11" s="111" t="n">
        <f aca="false">A11/(120*Assumptions!$B$11)</f>
        <v>0.0308641975308642</v>
      </c>
      <c r="E11" s="111" t="n">
        <f aca="false">A11/(150*Assumptions!$B$11)</f>
        <v>0.0246913580246914</v>
      </c>
    </row>
    <row r="12" customFormat="false" ht="18" hidden="false" customHeight="true" outlineLevel="0" collapsed="false">
      <c r="A12" s="110" t="n">
        <v>6</v>
      </c>
      <c r="B12" s="111" t="n">
        <f aca="false">A12/(80*Assumptions!$B$11)</f>
        <v>0.0555555555555556</v>
      </c>
      <c r="C12" s="111" t="n">
        <f aca="false">A12/(100*Assumptions!$B$11)</f>
        <v>0.0444444444444444</v>
      </c>
      <c r="D12" s="111" t="n">
        <f aca="false">A12/(120*Assumptions!$B$11)</f>
        <v>0.037037037037037</v>
      </c>
      <c r="E12" s="111" t="n">
        <f aca="false">A12/(150*Assumptions!$B$11)</f>
        <v>0.0296296296296296</v>
      </c>
    </row>
    <row r="13" customFormat="false" ht="18" hidden="false" customHeight="true" outlineLevel="0" collapsed="false">
      <c r="A13" s="110" t="n">
        <v>8</v>
      </c>
      <c r="B13" s="111" t="n">
        <f aca="false">A13/(80*Assumptions!$B$11)</f>
        <v>0.0740740740740741</v>
      </c>
      <c r="C13" s="111" t="n">
        <f aca="false">A13/(100*Assumptions!$B$11)</f>
        <v>0.0592592592592593</v>
      </c>
      <c r="D13" s="111" t="n">
        <f aca="false">A13/(120*Assumptions!$B$11)</f>
        <v>0.0493827160493827</v>
      </c>
      <c r="E13" s="111" t="n">
        <f aca="false">A13/(150*Assumptions!$B$11)</f>
        <v>0.0395061728395062</v>
      </c>
    </row>
    <row r="15" customFormat="false" ht="39.75" hidden="false" customHeight="true" outlineLevel="0" collapsed="false">
      <c r="A15" s="51" t="s">
        <v>282</v>
      </c>
      <c r="B15" s="51"/>
      <c r="C15" s="51"/>
      <c r="D15" s="51"/>
      <c r="E15" s="51"/>
    </row>
  </sheetData>
  <mergeCells count="3">
    <mergeCell ref="A1:E1"/>
    <mergeCell ref="A2:E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4"/>
  </cols>
  <sheetData>
    <row r="1" customFormat="false" ht="27.75" hidden="false" customHeight="true" outlineLevel="0" collapsed="false">
      <c r="A1" s="2" t="s">
        <v>283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A3" s="24" t="s">
        <v>284</v>
      </c>
      <c r="B3" s="109" t="s">
        <v>285</v>
      </c>
      <c r="C3" s="109" t="s">
        <v>286</v>
      </c>
      <c r="D3" s="109" t="s">
        <v>287</v>
      </c>
      <c r="E3" s="109" t="s">
        <v>288</v>
      </c>
      <c r="F3" s="109" t="s">
        <v>289</v>
      </c>
      <c r="G3" s="109" t="s">
        <v>290</v>
      </c>
    </row>
    <row r="4" customFormat="false" ht="18" hidden="false" customHeight="true" outlineLevel="0" collapsed="false">
      <c r="A4" s="9" t="s">
        <v>262</v>
      </c>
      <c r="B4" s="12" t="n">
        <v>60</v>
      </c>
      <c r="C4" s="104" t="n">
        <f aca="false">$B$4</f>
        <v>60</v>
      </c>
      <c r="D4" s="104" t="n">
        <f aca="false">$B$4</f>
        <v>60</v>
      </c>
      <c r="E4" s="104" t="n">
        <f aca="false">$B$4</f>
        <v>60</v>
      </c>
      <c r="F4" s="104" t="n">
        <f aca="false">$B$4</f>
        <v>60</v>
      </c>
      <c r="G4" s="104" t="n">
        <f aca="false">$B$4</f>
        <v>60</v>
      </c>
    </row>
    <row r="5" customFormat="false" ht="19.5" hidden="false" customHeight="true" outlineLevel="0" collapsed="false">
      <c r="A5" s="9" t="s">
        <v>291</v>
      </c>
      <c r="B5" s="38" t="n">
        <f aca="false">Assumptions!B8*($B$4/100)*5</f>
        <v>24</v>
      </c>
      <c r="C5" s="38" t="n">
        <f aca="false">Assumptions!B8*($B$4/100)*10</f>
        <v>48</v>
      </c>
      <c r="D5" s="38" t="n">
        <f aca="false">Assumptions!B8*($B$4/100)*20</f>
        <v>96</v>
      </c>
      <c r="E5" s="38" t="n">
        <f aca="false">Assumptions!B8*($B$4/100)*30</f>
        <v>144</v>
      </c>
      <c r="F5" s="38" t="n">
        <f aca="false">Assumptions!B8*($B$4/100)*50</f>
        <v>240</v>
      </c>
      <c r="G5" s="38" t="n">
        <f aca="false">Assumptions!B8*($B$4/100)*75</f>
        <v>360</v>
      </c>
    </row>
    <row r="6" customFormat="false" ht="19.5" hidden="false" customHeight="true" outlineLevel="0" collapsed="false">
      <c r="A6" s="9" t="s">
        <v>292</v>
      </c>
      <c r="B6" s="39" t="n">
        <f aca="false">Assumptions!B41*Assumptions!B8*($B$4/100)*5</f>
        <v>72</v>
      </c>
      <c r="C6" s="39" t="n">
        <f aca="false">Assumptions!B41*Assumptions!B8*($B$4/100)*10</f>
        <v>144</v>
      </c>
      <c r="D6" s="39" t="n">
        <f aca="false">Assumptions!B41*Assumptions!B8*($B$4/100)*20</f>
        <v>288</v>
      </c>
      <c r="E6" s="39" t="n">
        <f aca="false">Assumptions!B41*Assumptions!B8*($B$4/100)*30</f>
        <v>432</v>
      </c>
      <c r="F6" s="39" t="n">
        <f aca="false">Assumptions!B41*Assumptions!B8*($B$4/100)*50</f>
        <v>720</v>
      </c>
      <c r="G6" s="39" t="n">
        <f aca="false">Assumptions!B41*Assumptions!B8*($B$4/100)*75</f>
        <v>1080</v>
      </c>
    </row>
    <row r="7" customFormat="false" ht="19.5" hidden="false" customHeight="true" outlineLevel="0" collapsed="false">
      <c r="A7" s="24" t="s">
        <v>293</v>
      </c>
      <c r="B7" s="27" t="n">
        <f aca="false">Assumptions!B50*Assumptions!B8*($B$4/100)*5</f>
        <v>-4543.55679375</v>
      </c>
      <c r="C7" s="27" t="n">
        <f aca="false">Assumptions!B50*Assumptions!B8*($B$4/100)*10</f>
        <v>-9087.1135875</v>
      </c>
      <c r="D7" s="27" t="n">
        <f aca="false">Assumptions!B50*Assumptions!B8*($B$4/100)*20</f>
        <v>-18174.227175</v>
      </c>
      <c r="E7" s="27" t="n">
        <f aca="false">Assumptions!B50*Assumptions!B8*($B$4/100)*30</f>
        <v>-27261.3407625</v>
      </c>
      <c r="F7" s="27" t="n">
        <f aca="false">Assumptions!B50*Assumptions!B8*($B$4/100)*50</f>
        <v>-45435.5679375</v>
      </c>
      <c r="G7" s="27" t="n">
        <f aca="false">Assumptions!B50*Assumptions!B8*($B$4/100)*75</f>
        <v>-68153.35190625</v>
      </c>
    </row>
    <row r="8" customFormat="false" ht="19.5" hidden="false" customHeight="true" outlineLevel="0" collapsed="false">
      <c r="A8" s="24" t="s">
        <v>294</v>
      </c>
      <c r="B8" s="27" t="n">
        <f aca="false">(Assumptions!B50-Assumptions!B41)*Assumptions!B8*($B$4/100)*5</f>
        <v>-4615.55679375</v>
      </c>
      <c r="C8" s="27" t="n">
        <f aca="false">(Assumptions!B50-Assumptions!B41)*Assumptions!B8*($B$4/100)*10</f>
        <v>-9231.1135875</v>
      </c>
      <c r="D8" s="27" t="n">
        <f aca="false">(Assumptions!B50-Assumptions!B41)*Assumptions!B8*($B$4/100)*20</f>
        <v>-18462.227175</v>
      </c>
      <c r="E8" s="27" t="n">
        <f aca="false">(Assumptions!B50-Assumptions!B41)*Assumptions!B8*($B$4/100)*30</f>
        <v>-27693.3407625</v>
      </c>
      <c r="F8" s="27" t="n">
        <f aca="false">(Assumptions!B50-Assumptions!B41)*Assumptions!B8*($B$4/100)*50</f>
        <v>-46155.5679375</v>
      </c>
      <c r="G8" s="27" t="n">
        <f aca="false">(Assumptions!B50-Assumptions!B41)*Assumptions!B8*($B$4/100)*75</f>
        <v>-69233.35190625</v>
      </c>
    </row>
    <row r="9" customFormat="false" ht="19.5" hidden="false" customHeight="true" outlineLevel="0" collapsed="false">
      <c r="A9" s="24" t="s">
        <v>295</v>
      </c>
      <c r="B9" s="27" t="n">
        <f aca="false">(Assumptions!B50-Assumptions!B41)*Assumptions!B8*($B$4/100)*5*12</f>
        <v>-55386.681525</v>
      </c>
      <c r="C9" s="27" t="n">
        <f aca="false">(Assumptions!B50-Assumptions!B41)*Assumptions!B8*($B$4/100)*10*12</f>
        <v>-110773.36305</v>
      </c>
      <c r="D9" s="27" t="n">
        <f aca="false">(Assumptions!B50-Assumptions!B41)*Assumptions!B8*($B$4/100)*20*12</f>
        <v>-221546.7261</v>
      </c>
      <c r="E9" s="27" t="n">
        <f aca="false">(Assumptions!B50-Assumptions!B41)*Assumptions!B8*($B$4/100)*30*12</f>
        <v>-332320.08915</v>
      </c>
      <c r="F9" s="27" t="n">
        <f aca="false">(Assumptions!B50-Assumptions!B41)*Assumptions!B8*($B$4/100)*50*12</f>
        <v>-553866.81525</v>
      </c>
      <c r="G9" s="27" t="n">
        <f aca="false">(Assumptions!B50-Assumptions!B41)*Assumptions!B8*($B$4/100)*75*12</f>
        <v>-830800.222875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6"/>
    <col collapsed="false" customWidth="true" hidden="false" outlineLevel="0" max="10" min="10" style="1" width="22"/>
  </cols>
  <sheetData>
    <row r="1" customFormat="false" ht="27.75" hidden="false" customHeight="true" outlineLevel="0" collapsed="false">
      <c r="A1" s="2" t="s">
        <v>296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83" t="s">
        <v>297</v>
      </c>
      <c r="B2" s="83"/>
      <c r="C2" s="83"/>
      <c r="D2" s="83"/>
      <c r="E2" s="83"/>
      <c r="F2" s="83"/>
      <c r="G2" s="83"/>
      <c r="H2" s="83"/>
      <c r="I2" s="83"/>
      <c r="J2" s="83"/>
    </row>
    <row r="3" customFormat="false" ht="7.5" hidden="false" customHeight="true" outlineLevel="0" collapsed="false"/>
    <row r="4" customFormat="false" ht="19.5" hidden="false" customHeight="true" outlineLevel="0" collapsed="false">
      <c r="A4" s="8" t="s">
        <v>298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84" t="s">
        <v>299</v>
      </c>
      <c r="B5" s="17" t="s">
        <v>300</v>
      </c>
      <c r="C5" s="17" t="s">
        <v>301</v>
      </c>
      <c r="D5" s="17" t="s">
        <v>302</v>
      </c>
      <c r="E5" s="17" t="s">
        <v>20</v>
      </c>
      <c r="F5" s="17"/>
      <c r="G5" s="17"/>
      <c r="H5" s="17"/>
      <c r="I5" s="17"/>
      <c r="J5" s="17"/>
    </row>
    <row r="6" customFormat="false" ht="18" hidden="false" customHeight="true" outlineLevel="0" collapsed="false">
      <c r="A6" s="18" t="s">
        <v>101</v>
      </c>
      <c r="B6" s="10" t="n">
        <v>35</v>
      </c>
      <c r="C6" s="10" t="n">
        <v>5</v>
      </c>
      <c r="D6" s="112" t="s">
        <v>107</v>
      </c>
      <c r="E6" s="85" t="s">
        <v>303</v>
      </c>
      <c r="F6" s="85"/>
      <c r="G6" s="85"/>
      <c r="H6" s="85"/>
      <c r="I6" s="85"/>
      <c r="J6" s="85"/>
    </row>
    <row r="7" customFormat="false" ht="18" hidden="false" customHeight="true" outlineLevel="0" collapsed="false">
      <c r="A7" s="18" t="s">
        <v>304</v>
      </c>
      <c r="B7" s="10" t="n">
        <v>20</v>
      </c>
      <c r="C7" s="10" t="n">
        <v>7</v>
      </c>
      <c r="D7" s="112" t="s">
        <v>112</v>
      </c>
      <c r="E7" s="85" t="s">
        <v>305</v>
      </c>
      <c r="F7" s="85"/>
      <c r="G7" s="85"/>
      <c r="H7" s="85"/>
      <c r="I7" s="85"/>
      <c r="J7" s="85"/>
    </row>
    <row r="8" customFormat="false" ht="18" hidden="false" customHeight="true" outlineLevel="0" collapsed="false">
      <c r="A8" s="18" t="s">
        <v>306</v>
      </c>
      <c r="B8" s="10" t="n">
        <v>18</v>
      </c>
      <c r="C8" s="10" t="n">
        <v>3</v>
      </c>
      <c r="D8" s="112" t="s">
        <v>112</v>
      </c>
      <c r="E8" s="85"/>
      <c r="F8" s="85"/>
      <c r="G8" s="85"/>
      <c r="H8" s="85"/>
      <c r="I8" s="85"/>
      <c r="J8" s="85"/>
    </row>
    <row r="9" customFormat="false" ht="18" hidden="false" customHeight="true" outlineLevel="0" collapsed="false">
      <c r="A9" s="18" t="s">
        <v>307</v>
      </c>
      <c r="B9" s="10" t="n">
        <v>16</v>
      </c>
      <c r="C9" s="10" t="n">
        <v>5</v>
      </c>
      <c r="D9" s="112" t="s">
        <v>112</v>
      </c>
      <c r="E9" s="85"/>
      <c r="F9" s="85"/>
      <c r="G9" s="85"/>
      <c r="H9" s="85"/>
      <c r="I9" s="85"/>
      <c r="J9" s="85"/>
    </row>
    <row r="10" customFormat="false" ht="18" hidden="false" customHeight="true" outlineLevel="0" collapsed="false">
      <c r="A10" s="18" t="s">
        <v>308</v>
      </c>
      <c r="B10" s="10" t="n">
        <v>12</v>
      </c>
      <c r="C10" s="10" t="n">
        <v>3</v>
      </c>
      <c r="D10" s="112" t="s">
        <v>112</v>
      </c>
      <c r="E10" s="85"/>
      <c r="F10" s="85"/>
      <c r="G10" s="85"/>
      <c r="H10" s="85"/>
      <c r="I10" s="85"/>
      <c r="J10" s="85"/>
    </row>
    <row r="11" customFormat="false" ht="18" hidden="false" customHeight="true" outlineLevel="0" collapsed="false">
      <c r="A11" s="24" t="s">
        <v>309</v>
      </c>
      <c r="B11" s="86" t="n">
        <f aca="false">SUM(B6:B10)</f>
        <v>101</v>
      </c>
      <c r="C11" s="86" t="n">
        <f aca="false">SUM(C6:C10)</f>
        <v>23</v>
      </c>
      <c r="D11" s="112"/>
      <c r="E11" s="85"/>
      <c r="F11" s="85"/>
      <c r="G11" s="85"/>
      <c r="H11" s="85"/>
      <c r="I11" s="85"/>
      <c r="J11" s="85"/>
    </row>
    <row r="12" customFormat="false" ht="7.5" hidden="false" customHeight="true" outlineLevel="0" collapsed="false"/>
    <row r="13" customFormat="false" ht="19.5" hidden="false" customHeight="true" outlineLevel="0" collapsed="false">
      <c r="A13" s="113" t="s">
        <v>310</v>
      </c>
      <c r="B13" s="113"/>
      <c r="C13" s="113"/>
      <c r="D13" s="113"/>
      <c r="E13" s="113"/>
      <c r="F13" s="113"/>
      <c r="G13" s="113"/>
      <c r="H13" s="113"/>
      <c r="I13" s="113"/>
      <c r="J13" s="113"/>
    </row>
    <row r="14" customFormat="false" ht="18" hidden="false" customHeight="true" outlineLevel="0" collapsed="false">
      <c r="A14" s="18" t="s">
        <v>311</v>
      </c>
      <c r="B14" s="29" t="n">
        <v>3</v>
      </c>
      <c r="C14" s="85" t="s">
        <v>312</v>
      </c>
      <c r="D14" s="85"/>
      <c r="E14" s="85"/>
      <c r="F14" s="85"/>
      <c r="G14" s="85"/>
      <c r="H14" s="85"/>
      <c r="I14" s="85"/>
      <c r="J14" s="85"/>
    </row>
    <row r="15" customFormat="false" ht="18" hidden="false" customHeight="true" outlineLevel="0" collapsed="false">
      <c r="A15" s="18" t="s">
        <v>313</v>
      </c>
      <c r="B15" s="29" t="n">
        <v>15</v>
      </c>
      <c r="C15" s="85"/>
      <c r="D15" s="85"/>
      <c r="E15" s="85"/>
      <c r="F15" s="85"/>
      <c r="G15" s="85"/>
      <c r="H15" s="85"/>
      <c r="I15" s="85"/>
      <c r="J15" s="85"/>
    </row>
    <row r="16" customFormat="false" ht="18" hidden="false" customHeight="true" outlineLevel="0" collapsed="false">
      <c r="A16" s="18" t="s">
        <v>314</v>
      </c>
      <c r="B16" s="29" t="n">
        <v>1</v>
      </c>
      <c r="C16" s="85" t="s">
        <v>315</v>
      </c>
      <c r="D16" s="85"/>
      <c r="E16" s="85"/>
      <c r="F16" s="85"/>
      <c r="G16" s="85"/>
      <c r="H16" s="85"/>
      <c r="I16" s="85"/>
      <c r="J16" s="85"/>
    </row>
    <row r="17" customFormat="false" ht="18" hidden="false" customHeight="true" outlineLevel="0" collapsed="false">
      <c r="A17" s="18" t="s">
        <v>316</v>
      </c>
      <c r="B17" s="29" t="n">
        <v>5</v>
      </c>
      <c r="C17" s="85"/>
      <c r="D17" s="85"/>
      <c r="E17" s="85"/>
      <c r="F17" s="85"/>
      <c r="G17" s="85"/>
      <c r="H17" s="85"/>
      <c r="I17" s="85"/>
      <c r="J17" s="85"/>
    </row>
    <row r="18" customFormat="false" ht="18" hidden="false" customHeight="true" outlineLevel="0" collapsed="false">
      <c r="A18" s="18" t="s">
        <v>317</v>
      </c>
      <c r="B18" s="20" t="n">
        <v>1.62</v>
      </c>
      <c r="C18" s="85"/>
      <c r="D18" s="85"/>
      <c r="E18" s="85"/>
      <c r="F18" s="85"/>
      <c r="G18" s="85"/>
      <c r="H18" s="85"/>
      <c r="I18" s="85"/>
      <c r="J18" s="85"/>
    </row>
    <row r="19" customFormat="false" ht="18" hidden="false" customHeight="true" outlineLevel="0" collapsed="false">
      <c r="A19" s="18" t="s">
        <v>318</v>
      </c>
      <c r="B19" s="19" t="n">
        <v>65</v>
      </c>
      <c r="C19" s="85" t="s">
        <v>319</v>
      </c>
      <c r="D19" s="85"/>
      <c r="E19" s="85"/>
      <c r="F19" s="85"/>
      <c r="G19" s="85"/>
      <c r="H19" s="85"/>
      <c r="I19" s="85"/>
      <c r="J19" s="85"/>
    </row>
    <row r="20" customFormat="false" ht="18" hidden="false" customHeight="true" outlineLevel="0" collapsed="false">
      <c r="A20" s="18" t="s">
        <v>320</v>
      </c>
      <c r="B20" s="10" t="n">
        <v>4</v>
      </c>
      <c r="C20" s="85" t="s">
        <v>321</v>
      </c>
      <c r="D20" s="85"/>
      <c r="E20" s="85"/>
      <c r="F20" s="85"/>
      <c r="G20" s="85"/>
      <c r="H20" s="85"/>
      <c r="I20" s="85"/>
      <c r="J20" s="85"/>
    </row>
    <row r="21" customFormat="false" ht="4.5" hidden="false" customHeight="true" outlineLevel="0" collapsed="false"/>
    <row r="22" customFormat="false" ht="18" hidden="false" customHeight="true" outlineLevel="0" collapsed="false">
      <c r="A22" s="18" t="s">
        <v>322</v>
      </c>
      <c r="B22" s="30" t="n">
        <f aca="false">(B6/1000)*B14</f>
        <v>0.105</v>
      </c>
    </row>
    <row r="23" customFormat="false" ht="18" hidden="false" customHeight="true" outlineLevel="0" collapsed="false">
      <c r="A23" s="18" t="s">
        <v>323</v>
      </c>
      <c r="B23" s="30" t="n">
        <f aca="false">(C6/1000)*B15</f>
        <v>0.075</v>
      </c>
    </row>
    <row r="24" customFormat="false" ht="18" hidden="false" customHeight="true" outlineLevel="0" collapsed="false">
      <c r="A24" s="18" t="s">
        <v>324</v>
      </c>
      <c r="B24" s="30" t="n">
        <f aca="false">((B7+B8+B9+B10)/1000)*B16</f>
        <v>0.066</v>
      </c>
    </row>
    <row r="25" customFormat="false" ht="18" hidden="false" customHeight="true" outlineLevel="0" collapsed="false">
      <c r="A25" s="18" t="s">
        <v>325</v>
      </c>
      <c r="B25" s="30" t="n">
        <f aca="false">((C7+C8+C9+C10)/1000)*B17</f>
        <v>0.09</v>
      </c>
    </row>
    <row r="26" customFormat="false" ht="18" hidden="false" customHeight="true" outlineLevel="0" collapsed="false">
      <c r="A26" s="114" t="s">
        <v>326</v>
      </c>
      <c r="B26" s="115" t="n">
        <f aca="false">SUM(B22:B25)*B18</f>
        <v>0.54432</v>
      </c>
    </row>
    <row r="27" customFormat="false" ht="18" hidden="false" customHeight="true" outlineLevel="0" collapsed="false">
      <c r="A27" s="18" t="s">
        <v>327</v>
      </c>
      <c r="B27" s="116" t="n">
        <f aca="false">Assumptions!B32*0.6</f>
        <v>564.3</v>
      </c>
    </row>
    <row r="28" customFormat="false" ht="18" hidden="false" customHeight="true" outlineLevel="0" collapsed="false">
      <c r="A28" s="18" t="s">
        <v>328</v>
      </c>
      <c r="B28" s="35" t="n">
        <f aca="false">0.5*Assumptions!B17*Assumptions!B11</f>
        <v>87.75</v>
      </c>
    </row>
    <row r="29" customFormat="false" ht="18" hidden="false" customHeight="true" outlineLevel="0" collapsed="false">
      <c r="A29" s="114" t="s">
        <v>329</v>
      </c>
      <c r="B29" s="94" t="n">
        <f aca="false">B27-B26-B28</f>
        <v>476.00568</v>
      </c>
    </row>
    <row r="30" customFormat="false" ht="18" hidden="false" customHeight="true" outlineLevel="0" collapsed="false">
      <c r="A30" s="114" t="s">
        <v>330</v>
      </c>
      <c r="B30" s="117" t="n">
        <f aca="false">IF((B26+B28)=0,"n/a",B29/(B26+B28))</f>
        <v>5.39112459329207</v>
      </c>
    </row>
    <row r="31" customFormat="false" ht="18" hidden="false" customHeight="true" outlineLevel="0" collapsed="false">
      <c r="A31" s="18" t="s">
        <v>331</v>
      </c>
      <c r="B31" s="38" t="n">
        <f aca="false">Assumptions!B7*Assumptions!B8*(Assumptions!B9/100)</f>
        <v>240</v>
      </c>
    </row>
    <row r="32" customFormat="false" ht="18" hidden="false" customHeight="true" outlineLevel="0" collapsed="false">
      <c r="A32" s="18" t="s">
        <v>332</v>
      </c>
      <c r="B32" s="39" t="n">
        <f aca="false">B26*B31</f>
        <v>130.6368</v>
      </c>
    </row>
    <row r="33" customFormat="false" ht="18" hidden="false" customHeight="true" outlineLevel="0" collapsed="false">
      <c r="A33" s="114" t="s">
        <v>333</v>
      </c>
      <c r="B33" s="99" t="n">
        <f aca="false">B29*B31</f>
        <v>114241.3632</v>
      </c>
    </row>
    <row r="34" customFormat="false" ht="18" hidden="false" customHeight="true" outlineLevel="0" collapsed="false">
      <c r="A34" s="114" t="s">
        <v>334</v>
      </c>
      <c r="B34" s="99" t="n">
        <f aca="false">B33*12</f>
        <v>1370896.3584</v>
      </c>
    </row>
    <row r="35" customFormat="false" ht="18" hidden="false" customHeight="true" outlineLevel="0" collapsed="false">
      <c r="A35" s="18" t="s">
        <v>335</v>
      </c>
      <c r="B35" s="39" t="n">
        <f aca="false">Assumptions!B7*B20*B19*12</f>
        <v>156000</v>
      </c>
    </row>
    <row r="36" customFormat="false" ht="18" hidden="false" customHeight="true" outlineLevel="0" collapsed="false">
      <c r="A36" s="114" t="s">
        <v>336</v>
      </c>
      <c r="B36" s="99" t="n">
        <f aca="false">B34-B35</f>
        <v>1214896.3584</v>
      </c>
    </row>
    <row r="37" customFormat="false" ht="4.5" hidden="false" customHeight="true" outlineLevel="0" collapsed="false"/>
    <row r="38" customFormat="false" ht="51.75" hidden="false" customHeight="true" outlineLevel="0" collapsed="false">
      <c r="A38" s="118" t="s">
        <v>337</v>
      </c>
      <c r="B38" s="118"/>
      <c r="C38" s="118"/>
      <c r="D38" s="118"/>
      <c r="E38" s="118"/>
      <c r="F38" s="118"/>
      <c r="G38" s="118"/>
      <c r="H38" s="118"/>
      <c r="I38" s="118"/>
      <c r="J38" s="118"/>
    </row>
    <row r="39" customFormat="false" ht="7.5" hidden="false" customHeight="true" outlineLevel="0" collapsed="false"/>
    <row r="40" customFormat="false" ht="19.5" hidden="false" customHeight="true" outlineLevel="0" collapsed="false">
      <c r="A40" s="119" t="s">
        <v>338</v>
      </c>
      <c r="B40" s="119"/>
      <c r="C40" s="119"/>
      <c r="D40" s="119"/>
      <c r="E40" s="119"/>
      <c r="F40" s="119"/>
      <c r="G40" s="119"/>
      <c r="H40" s="119"/>
      <c r="I40" s="119"/>
      <c r="J40" s="119"/>
    </row>
    <row r="41" customFormat="false" ht="18" hidden="false" customHeight="true" outlineLevel="0" collapsed="false">
      <c r="A41" s="18" t="s">
        <v>339</v>
      </c>
      <c r="B41" s="29" t="n">
        <v>3</v>
      </c>
      <c r="C41" s="85" t="s">
        <v>340</v>
      </c>
      <c r="D41" s="85"/>
      <c r="E41" s="85"/>
      <c r="F41" s="85"/>
      <c r="G41" s="85"/>
      <c r="H41" s="85"/>
      <c r="I41" s="85"/>
      <c r="J41" s="85"/>
    </row>
    <row r="42" customFormat="false" ht="18" hidden="false" customHeight="true" outlineLevel="0" collapsed="false">
      <c r="A42" s="18" t="s">
        <v>341</v>
      </c>
      <c r="B42" s="29" t="n">
        <v>15</v>
      </c>
      <c r="C42" s="85"/>
      <c r="D42" s="85"/>
      <c r="E42" s="85"/>
      <c r="F42" s="85"/>
      <c r="G42" s="85"/>
      <c r="H42" s="85"/>
      <c r="I42" s="85"/>
      <c r="J42" s="85"/>
    </row>
    <row r="43" customFormat="false" ht="18" hidden="false" customHeight="true" outlineLevel="0" collapsed="false">
      <c r="A43" s="18" t="s">
        <v>342</v>
      </c>
      <c r="B43" s="29" t="n">
        <v>1</v>
      </c>
      <c r="C43" s="85"/>
      <c r="D43" s="85"/>
      <c r="E43" s="85"/>
      <c r="F43" s="85"/>
      <c r="G43" s="85"/>
      <c r="H43" s="85"/>
      <c r="I43" s="85"/>
      <c r="J43" s="85"/>
    </row>
    <row r="44" customFormat="false" ht="18" hidden="false" customHeight="true" outlineLevel="0" collapsed="false">
      <c r="A44" s="18" t="s">
        <v>343</v>
      </c>
      <c r="B44" s="29" t="n">
        <v>5</v>
      </c>
      <c r="C44" s="85"/>
      <c r="D44" s="85"/>
      <c r="E44" s="85"/>
      <c r="F44" s="85"/>
      <c r="G44" s="85"/>
      <c r="H44" s="85"/>
      <c r="I44" s="85"/>
      <c r="J44" s="85"/>
    </row>
    <row r="45" customFormat="false" ht="18" hidden="false" customHeight="true" outlineLevel="0" collapsed="false">
      <c r="A45" s="18" t="s">
        <v>344</v>
      </c>
      <c r="B45" s="12" t="n">
        <v>70</v>
      </c>
      <c r="C45" s="85" t="s">
        <v>345</v>
      </c>
      <c r="D45" s="85"/>
      <c r="E45" s="85"/>
      <c r="F45" s="85"/>
      <c r="G45" s="85"/>
      <c r="H45" s="85"/>
      <c r="I45" s="85"/>
      <c r="J45" s="85"/>
    </row>
    <row r="46" customFormat="false" ht="18" hidden="false" customHeight="true" outlineLevel="0" collapsed="false">
      <c r="A46" s="18" t="s">
        <v>346</v>
      </c>
      <c r="B46" s="12" t="n">
        <v>90</v>
      </c>
      <c r="C46" s="85" t="s">
        <v>347</v>
      </c>
      <c r="D46" s="85"/>
      <c r="E46" s="85"/>
      <c r="F46" s="85"/>
      <c r="G46" s="85"/>
      <c r="H46" s="85"/>
      <c r="I46" s="85"/>
      <c r="J46" s="85"/>
    </row>
    <row r="47" customFormat="false" ht="18" hidden="false" customHeight="true" outlineLevel="0" collapsed="false">
      <c r="A47" s="18" t="s">
        <v>348</v>
      </c>
      <c r="B47" s="12" t="n">
        <v>0</v>
      </c>
      <c r="C47" s="85" t="s">
        <v>349</v>
      </c>
      <c r="D47" s="85"/>
      <c r="E47" s="85"/>
      <c r="F47" s="85"/>
      <c r="G47" s="85"/>
      <c r="H47" s="85"/>
      <c r="I47" s="85"/>
      <c r="J47" s="85"/>
    </row>
    <row r="48" customFormat="false" ht="18" hidden="false" customHeight="true" outlineLevel="0" collapsed="false">
      <c r="A48" s="18" t="s">
        <v>317</v>
      </c>
      <c r="B48" s="20" t="n">
        <v>1.62</v>
      </c>
      <c r="C48" s="85"/>
      <c r="D48" s="85"/>
      <c r="E48" s="85"/>
      <c r="F48" s="85"/>
      <c r="G48" s="85"/>
      <c r="H48" s="85"/>
      <c r="I48" s="85"/>
      <c r="J48" s="85"/>
    </row>
    <row r="49" customFormat="false" ht="18" hidden="false" customHeight="true" outlineLevel="0" collapsed="false">
      <c r="A49" s="18" t="s">
        <v>350</v>
      </c>
      <c r="B49" s="12" t="n">
        <v>70</v>
      </c>
      <c r="C49" s="85" t="s">
        <v>351</v>
      </c>
      <c r="D49" s="85"/>
      <c r="E49" s="85"/>
      <c r="F49" s="85"/>
      <c r="G49" s="85"/>
      <c r="H49" s="85"/>
      <c r="I49" s="85"/>
      <c r="J49" s="85"/>
    </row>
    <row r="50" customFormat="false" ht="18" hidden="false" customHeight="true" outlineLevel="0" collapsed="false">
      <c r="A50" s="18" t="s">
        <v>352</v>
      </c>
      <c r="B50" s="19" t="n">
        <v>25000</v>
      </c>
      <c r="C50" s="85" t="s">
        <v>353</v>
      </c>
      <c r="D50" s="85"/>
      <c r="E50" s="85"/>
      <c r="F50" s="85"/>
      <c r="G50" s="85"/>
      <c r="H50" s="85"/>
      <c r="I50" s="85"/>
      <c r="J50" s="85"/>
    </row>
    <row r="51" customFormat="false" ht="18" hidden="false" customHeight="true" outlineLevel="0" collapsed="false">
      <c r="A51" s="18" t="s">
        <v>354</v>
      </c>
      <c r="B51" s="19" t="n">
        <v>2000</v>
      </c>
      <c r="C51" s="85" t="s">
        <v>355</v>
      </c>
      <c r="D51" s="85"/>
      <c r="E51" s="85"/>
      <c r="F51" s="85"/>
      <c r="G51" s="85"/>
      <c r="H51" s="85"/>
      <c r="I51" s="85"/>
      <c r="J51" s="85"/>
    </row>
    <row r="52" customFormat="false" ht="18" hidden="false" customHeight="true" outlineLevel="0" collapsed="false">
      <c r="A52" s="18" t="s">
        <v>356</v>
      </c>
      <c r="B52" s="19" t="n">
        <v>8000</v>
      </c>
      <c r="C52" s="85" t="s">
        <v>357</v>
      </c>
      <c r="D52" s="85"/>
      <c r="E52" s="85"/>
      <c r="F52" s="85"/>
      <c r="G52" s="85"/>
      <c r="H52" s="85"/>
      <c r="I52" s="85"/>
      <c r="J52" s="85"/>
    </row>
    <row r="53" customFormat="false" ht="18" hidden="false" customHeight="true" outlineLevel="0" collapsed="false">
      <c r="A53" s="18" t="s">
        <v>358</v>
      </c>
      <c r="B53" s="19" t="n">
        <v>15000</v>
      </c>
      <c r="C53" s="85" t="s">
        <v>359</v>
      </c>
      <c r="D53" s="85"/>
      <c r="E53" s="85"/>
      <c r="F53" s="85"/>
      <c r="G53" s="85"/>
      <c r="H53" s="85"/>
      <c r="I53" s="85"/>
      <c r="J53" s="85"/>
    </row>
    <row r="54" customFormat="false" ht="18" hidden="false" customHeight="true" outlineLevel="0" collapsed="false">
      <c r="A54" s="18" t="s">
        <v>360</v>
      </c>
      <c r="B54" s="10" t="n">
        <v>5</v>
      </c>
      <c r="C54" s="85" t="s">
        <v>361</v>
      </c>
      <c r="D54" s="85"/>
      <c r="E54" s="85"/>
      <c r="F54" s="85"/>
      <c r="G54" s="85"/>
      <c r="H54" s="85"/>
      <c r="I54" s="85"/>
      <c r="J54" s="85"/>
    </row>
    <row r="55" customFormat="false" ht="4.5" hidden="false" customHeight="true" outlineLevel="0" collapsed="false"/>
    <row r="56" customFormat="false" ht="18" hidden="false" customHeight="true" outlineLevel="0" collapsed="false">
      <c r="A56" s="18" t="s">
        <v>362</v>
      </c>
      <c r="B56" s="120" t="n">
        <f aca="false">(B6/1000)*(B41*((1-B45/100)+B45/100*(1-B46/100)))</f>
        <v>0.03885</v>
      </c>
    </row>
    <row r="57" customFormat="false" ht="18" hidden="false" customHeight="true" outlineLevel="0" collapsed="false">
      <c r="A57" s="18" t="s">
        <v>323</v>
      </c>
      <c r="B57" s="120" t="n">
        <f aca="false">(C6/1000)*B42</f>
        <v>0.075</v>
      </c>
    </row>
    <row r="58" customFormat="false" ht="18" hidden="false" customHeight="true" outlineLevel="0" collapsed="false">
      <c r="A58" s="18" t="s">
        <v>363</v>
      </c>
      <c r="B58" s="120" t="n">
        <f aca="false">((B7+B8+B9+B10)/1000)*(B43*((1-B45/100)+B45/100*(1-B46/100)))</f>
        <v>0.02442</v>
      </c>
    </row>
    <row r="59" customFormat="false" ht="18" hidden="false" customHeight="true" outlineLevel="0" collapsed="false">
      <c r="A59" s="18" t="s">
        <v>325</v>
      </c>
      <c r="B59" s="120" t="n">
        <f aca="false">((C7+C8+C9+C10)/1000)*B44</f>
        <v>0.09</v>
      </c>
    </row>
    <row r="60" customFormat="false" ht="18" hidden="false" customHeight="true" outlineLevel="0" collapsed="false">
      <c r="A60" s="114" t="s">
        <v>364</v>
      </c>
      <c r="B60" s="121" t="n">
        <f aca="false">(SUM(B56:B59))*(1-B47/100)</f>
        <v>0.22827</v>
      </c>
    </row>
    <row r="61" customFormat="false" ht="18" hidden="false" customHeight="true" outlineLevel="0" collapsed="false">
      <c r="A61" s="114" t="s">
        <v>365</v>
      </c>
      <c r="B61" s="122" t="n">
        <f aca="false">B60*B48</f>
        <v>0.3697974</v>
      </c>
    </row>
    <row r="62" customFormat="false" ht="18" hidden="false" customHeight="true" outlineLevel="0" collapsed="false">
      <c r="A62" s="114" t="s">
        <v>366</v>
      </c>
      <c r="B62" s="94" t="n">
        <f aca="false">B26-B61</f>
        <v>0.1745226</v>
      </c>
    </row>
    <row r="63" customFormat="false" ht="18" hidden="false" customHeight="true" outlineLevel="0" collapsed="false">
      <c r="A63" s="114" t="s">
        <v>367</v>
      </c>
      <c r="B63" s="123" t="n">
        <f aca="false">IF(B26=0,0,(B26-B61)/B26)</f>
        <v>0.320625</v>
      </c>
    </row>
    <row r="64" customFormat="false" ht="7.5" hidden="false" customHeight="true" outlineLevel="0" collapsed="false"/>
    <row r="65" customFormat="false" ht="19.5" hidden="false" customHeight="true" outlineLevel="0" collapsed="false">
      <c r="A65" s="119" t="s">
        <v>368</v>
      </c>
      <c r="B65" s="119"/>
      <c r="C65" s="119"/>
      <c r="D65" s="119"/>
      <c r="E65" s="119"/>
      <c r="F65" s="119"/>
      <c r="G65" s="119"/>
      <c r="H65" s="119"/>
      <c r="I65" s="119"/>
      <c r="J65" s="119"/>
    </row>
    <row r="66" customFormat="false" ht="18" hidden="false" customHeight="true" outlineLevel="0" collapsed="false">
      <c r="A66" s="18" t="s">
        <v>369</v>
      </c>
      <c r="B66" s="10" t="n">
        <v>10</v>
      </c>
      <c r="C66" s="85" t="s">
        <v>370</v>
      </c>
      <c r="D66" s="85"/>
      <c r="E66" s="85"/>
      <c r="F66" s="85"/>
      <c r="G66" s="85"/>
      <c r="H66" s="85"/>
      <c r="I66" s="85"/>
      <c r="J66" s="85"/>
    </row>
    <row r="67" customFormat="false" ht="19.5" hidden="false" customHeight="true" outlineLevel="0" collapsed="false">
      <c r="A67" s="18" t="s">
        <v>371</v>
      </c>
      <c r="B67" s="124" t="n">
        <f aca="false">Assumptions!B8*(Assumptions!B9/100)</f>
        <v>4.8</v>
      </c>
      <c r="C67" s="85" t="s">
        <v>372</v>
      </c>
      <c r="D67" s="85"/>
      <c r="E67" s="85"/>
      <c r="F67" s="85"/>
      <c r="G67" s="85"/>
      <c r="H67" s="85"/>
      <c r="I67" s="85"/>
      <c r="J67" s="85"/>
    </row>
    <row r="68" customFormat="false" ht="19.5" hidden="false" customHeight="true" outlineLevel="0" collapsed="false">
      <c r="A68" s="18" t="s">
        <v>373</v>
      </c>
      <c r="B68" s="125" t="n">
        <f aca="false">B61*B67</f>
        <v>1.77502752</v>
      </c>
      <c r="C68" s="85" t="s">
        <v>374</v>
      </c>
      <c r="D68" s="85"/>
      <c r="E68" s="85"/>
      <c r="F68" s="85"/>
      <c r="G68" s="85"/>
      <c r="H68" s="85"/>
      <c r="I68" s="85"/>
      <c r="J68" s="85"/>
    </row>
    <row r="69" customFormat="false" ht="19.5" hidden="false" customHeight="true" outlineLevel="0" collapsed="false">
      <c r="A69" s="18" t="s">
        <v>375</v>
      </c>
      <c r="B69" s="125" t="n">
        <f aca="false">B51/B54</f>
        <v>400</v>
      </c>
      <c r="C69" s="85" t="s">
        <v>376</v>
      </c>
      <c r="D69" s="85"/>
      <c r="E69" s="85"/>
      <c r="F69" s="85"/>
      <c r="G69" s="85"/>
      <c r="H69" s="85"/>
      <c r="I69" s="85"/>
      <c r="J69" s="85"/>
    </row>
    <row r="70" customFormat="false" ht="19.5" hidden="false" customHeight="true" outlineLevel="0" collapsed="false">
      <c r="A70" s="18" t="s">
        <v>377</v>
      </c>
      <c r="B70" s="125" t="n">
        <f aca="false">B52/(B66*B54)</f>
        <v>160</v>
      </c>
      <c r="C70" s="85" t="s">
        <v>378</v>
      </c>
      <c r="D70" s="85"/>
      <c r="E70" s="85"/>
      <c r="F70" s="85"/>
      <c r="G70" s="85"/>
      <c r="H70" s="85"/>
      <c r="I70" s="85"/>
      <c r="J70" s="85"/>
    </row>
    <row r="71" customFormat="false" ht="19.5" hidden="false" customHeight="true" outlineLevel="0" collapsed="false">
      <c r="A71" s="114" t="s">
        <v>379</v>
      </c>
      <c r="B71" s="122" t="n">
        <f aca="false">B68+B69+B70</f>
        <v>561.77502752</v>
      </c>
      <c r="C71" s="85" t="s">
        <v>380</v>
      </c>
      <c r="D71" s="85"/>
      <c r="E71" s="85"/>
      <c r="F71" s="85"/>
      <c r="G71" s="85"/>
      <c r="H71" s="85"/>
      <c r="I71" s="85"/>
      <c r="J71" s="85"/>
    </row>
    <row r="72" customFormat="false" ht="19.5" hidden="false" customHeight="true" outlineLevel="0" collapsed="false">
      <c r="A72" s="18" t="s">
        <v>381</v>
      </c>
      <c r="B72" s="39" t="n">
        <f aca="false">B71</f>
        <v>561.77502752</v>
      </c>
      <c r="C72" s="85" t="s">
        <v>382</v>
      </c>
      <c r="D72" s="85"/>
      <c r="E72" s="85"/>
      <c r="F72" s="85"/>
      <c r="G72" s="85"/>
      <c r="H72" s="85"/>
      <c r="I72" s="85"/>
      <c r="J72" s="85"/>
    </row>
    <row r="73" customFormat="false" ht="19.5" hidden="false" customHeight="true" outlineLevel="0" collapsed="false">
      <c r="A73" s="114" t="s">
        <v>383</v>
      </c>
      <c r="B73" s="126" t="n">
        <f aca="false">B71/(1-B49/100)</f>
        <v>1872.58342506667</v>
      </c>
      <c r="C73" s="85" t="s">
        <v>384</v>
      </c>
      <c r="D73" s="85"/>
      <c r="E73" s="85"/>
      <c r="F73" s="85"/>
      <c r="G73" s="85"/>
      <c r="H73" s="85"/>
      <c r="I73" s="85"/>
      <c r="J73" s="85"/>
    </row>
    <row r="74" customFormat="false" ht="19.5" hidden="false" customHeight="true" outlineLevel="0" collapsed="false">
      <c r="A74" s="114" t="s">
        <v>385</v>
      </c>
      <c r="B74" s="126" t="n">
        <f aca="false">CEILING(B73*1.15,500)</f>
        <v>2500</v>
      </c>
      <c r="C74" s="85" t="s">
        <v>386</v>
      </c>
      <c r="D74" s="85"/>
      <c r="E74" s="85"/>
      <c r="F74" s="85"/>
      <c r="G74" s="85"/>
      <c r="H74" s="85"/>
      <c r="I74" s="85"/>
      <c r="J74" s="85"/>
    </row>
    <row r="75" customFormat="false" ht="19.5" hidden="false" customHeight="true" outlineLevel="0" collapsed="false">
      <c r="A75" s="114" t="s">
        <v>387</v>
      </c>
      <c r="B75" s="99" t="n">
        <f aca="false">Assumptions!B32*0.6*B67</f>
        <v>2708.64</v>
      </c>
      <c r="C75" s="85" t="s">
        <v>388</v>
      </c>
      <c r="D75" s="85"/>
      <c r="E75" s="85"/>
      <c r="F75" s="85"/>
      <c r="G75" s="85"/>
      <c r="H75" s="85"/>
      <c r="I75" s="85"/>
      <c r="J75" s="85"/>
    </row>
    <row r="76" customFormat="false" ht="19.5" hidden="false" customHeight="true" outlineLevel="0" collapsed="false">
      <c r="A76" s="114" t="s">
        <v>389</v>
      </c>
      <c r="B76" s="117" t="n">
        <f aca="false">IF(B74=0,0,B75/B74)</f>
        <v>1.083456</v>
      </c>
      <c r="C76" s="85" t="s">
        <v>390</v>
      </c>
      <c r="D76" s="85"/>
      <c r="E76" s="85"/>
      <c r="F76" s="85"/>
      <c r="G76" s="85"/>
      <c r="H76" s="85"/>
      <c r="I76" s="85"/>
      <c r="J76" s="85"/>
    </row>
    <row r="77" customFormat="false" ht="7.5" hidden="false" customHeight="true" outlineLevel="0" collapsed="false"/>
    <row r="78" customFormat="false" ht="19.5" hidden="false" customHeight="true" outlineLevel="0" collapsed="false">
      <c r="A78" s="119" t="s">
        <v>391</v>
      </c>
      <c r="B78" s="119"/>
      <c r="C78" s="119"/>
      <c r="D78" s="119"/>
      <c r="E78" s="119"/>
      <c r="F78" s="119"/>
      <c r="G78" s="119"/>
      <c r="H78" s="119"/>
      <c r="I78" s="119"/>
      <c r="J78" s="119"/>
    </row>
    <row r="79" customFormat="false" ht="31.5" hidden="false" customHeight="true" outlineLevel="0" collapsed="false">
      <c r="A79" s="41" t="s">
        <v>392</v>
      </c>
      <c r="B79" s="41" t="s">
        <v>393</v>
      </c>
      <c r="C79" s="41" t="s">
        <v>394</v>
      </c>
      <c r="D79" s="41" t="s">
        <v>395</v>
      </c>
      <c r="E79" s="41" t="s">
        <v>396</v>
      </c>
      <c r="F79" s="41" t="s">
        <v>397</v>
      </c>
      <c r="G79" s="41" t="s">
        <v>398</v>
      </c>
      <c r="H79" s="42" t="s">
        <v>20</v>
      </c>
      <c r="I79" s="42"/>
      <c r="J79" s="42"/>
    </row>
    <row r="80" customFormat="false" ht="19.5" hidden="false" customHeight="true" outlineLevel="0" collapsed="false">
      <c r="A80" s="18" t="s">
        <v>399</v>
      </c>
      <c r="B80" s="27" t="n">
        <f aca="false">B74*1*B54</f>
        <v>12500</v>
      </c>
      <c r="C80" s="27" t="n">
        <f aca="false">B74*3*B54</f>
        <v>37500</v>
      </c>
      <c r="D80" s="27" t="n">
        <f aca="false">B74*5*B54</f>
        <v>62500</v>
      </c>
      <c r="E80" s="27" t="n">
        <f aca="false">B74*10*B54</f>
        <v>125000</v>
      </c>
      <c r="F80" s="27" t="n">
        <f aca="false">B74*20*B54</f>
        <v>250000</v>
      </c>
      <c r="G80" s="27" t="n">
        <f aca="false">B74*50*B54</f>
        <v>625000</v>
      </c>
      <c r="H80" s="85" t="s">
        <v>400</v>
      </c>
      <c r="I80" s="85"/>
      <c r="J80" s="85"/>
    </row>
    <row r="81" customFormat="false" ht="19.5" hidden="false" customHeight="true" outlineLevel="0" collapsed="false">
      <c r="A81" s="18" t="s">
        <v>401</v>
      </c>
      <c r="B81" s="39" t="n">
        <f aca="false">B68*1*B54</f>
        <v>8.8751376</v>
      </c>
      <c r="C81" s="39" t="n">
        <f aca="false">B68*3*B54</f>
        <v>26.6254128</v>
      </c>
      <c r="D81" s="39" t="n">
        <f aca="false">B68*5*B54</f>
        <v>44.375688</v>
      </c>
      <c r="E81" s="39" t="n">
        <f aca="false">B68*10*B54</f>
        <v>88.751376</v>
      </c>
      <c r="F81" s="39" t="n">
        <f aca="false">B68*20*B54</f>
        <v>177.502752</v>
      </c>
      <c r="G81" s="39" t="n">
        <f aca="false">B68*50*B54</f>
        <v>443.75688</v>
      </c>
      <c r="H81" s="85" t="s">
        <v>402</v>
      </c>
      <c r="I81" s="85"/>
      <c r="J81" s="85"/>
    </row>
    <row r="82" customFormat="false" ht="19.5" hidden="false" customHeight="true" outlineLevel="0" collapsed="false">
      <c r="A82" s="18" t="s">
        <v>403</v>
      </c>
      <c r="B82" s="39" t="n">
        <f aca="false">B51*1</f>
        <v>2000</v>
      </c>
      <c r="C82" s="39" t="n">
        <f aca="false">B51*3</f>
        <v>6000</v>
      </c>
      <c r="D82" s="39" t="n">
        <f aca="false">B51*5</f>
        <v>10000</v>
      </c>
      <c r="E82" s="39" t="n">
        <f aca="false">B51*10</f>
        <v>20000</v>
      </c>
      <c r="F82" s="39" t="n">
        <f aca="false">B51*20</f>
        <v>40000</v>
      </c>
      <c r="G82" s="39" t="n">
        <f aca="false">B51*50</f>
        <v>100000</v>
      </c>
      <c r="H82" s="85" t="s">
        <v>404</v>
      </c>
      <c r="I82" s="85"/>
      <c r="J82" s="85"/>
    </row>
    <row r="83" customFormat="false" ht="19.5" hidden="false" customHeight="true" outlineLevel="0" collapsed="false">
      <c r="A83" s="18" t="s">
        <v>405</v>
      </c>
      <c r="B83" s="39" t="n">
        <f aca="false">B52</f>
        <v>8000</v>
      </c>
      <c r="C83" s="39" t="n">
        <f aca="false">B52</f>
        <v>8000</v>
      </c>
      <c r="D83" s="39" t="n">
        <f aca="false">B52</f>
        <v>8000</v>
      </c>
      <c r="E83" s="39" t="n">
        <f aca="false">B52</f>
        <v>8000</v>
      </c>
      <c r="F83" s="39" t="n">
        <f aca="false">B52</f>
        <v>8000</v>
      </c>
      <c r="G83" s="39" t="n">
        <f aca="false">B52</f>
        <v>8000</v>
      </c>
      <c r="H83" s="85" t="s">
        <v>406</v>
      </c>
      <c r="I83" s="85"/>
      <c r="J83" s="85"/>
    </row>
    <row r="84" customFormat="false" ht="19.5" hidden="false" customHeight="true" outlineLevel="0" collapsed="false">
      <c r="A84" s="114" t="s">
        <v>407</v>
      </c>
      <c r="B84" s="99" t="n">
        <f aca="false">B80-B81-B82-B83</f>
        <v>2491.1248624</v>
      </c>
      <c r="C84" s="99" t="n">
        <f aca="false">C80-C81-C82-C83</f>
        <v>23473.3745872</v>
      </c>
      <c r="D84" s="99" t="n">
        <f aca="false">D80-D81-D82-D83</f>
        <v>44455.624312</v>
      </c>
      <c r="E84" s="99" t="n">
        <f aca="false">E80-E81-E82-E83</f>
        <v>96911.248624</v>
      </c>
      <c r="F84" s="99" t="n">
        <f aca="false">F80-F81-F82-F83</f>
        <v>201822.497248</v>
      </c>
      <c r="G84" s="99" t="n">
        <f aca="false">G80-G81-G82-G83</f>
        <v>516556.24312</v>
      </c>
      <c r="H84" s="85" t="s">
        <v>408</v>
      </c>
      <c r="I84" s="85"/>
      <c r="J84" s="85"/>
    </row>
    <row r="85" customFormat="false" ht="19.5" hidden="false" customHeight="true" outlineLevel="0" collapsed="false">
      <c r="A85" s="114" t="s">
        <v>409</v>
      </c>
      <c r="B85" s="127" t="n">
        <f aca="false">IF(B80=0,0,B84/B80)</f>
        <v>0.199289988992</v>
      </c>
      <c r="C85" s="127" t="n">
        <f aca="false">IF(C80=0,0,C84/C80)</f>
        <v>0.625956655658667</v>
      </c>
      <c r="D85" s="127" t="n">
        <f aca="false">IF(D80=0,0,D84/D80)</f>
        <v>0.711289988992</v>
      </c>
      <c r="E85" s="127" t="n">
        <f aca="false">IF(E80=0,0,E84/E80)</f>
        <v>0.775289988992</v>
      </c>
      <c r="F85" s="127" t="n">
        <f aca="false">IF(F80=0,0,F84/F80)</f>
        <v>0.807289988992</v>
      </c>
      <c r="G85" s="127" t="n">
        <f aca="false">IF(G80=0,0,G84/G80)</f>
        <v>0.826489988992</v>
      </c>
      <c r="H85" s="85" t="s">
        <v>410</v>
      </c>
      <c r="I85" s="85"/>
      <c r="J85" s="85"/>
    </row>
    <row r="86" customFormat="false" ht="19.5" hidden="false" customHeight="true" outlineLevel="0" collapsed="false">
      <c r="A86" s="114" t="s">
        <v>411</v>
      </c>
      <c r="B86" s="128" t="n">
        <f aca="false">IF(B84/1&lt;=0,99,B53/(B84/1))</f>
        <v>6.02137621698685</v>
      </c>
      <c r="C86" s="128" t="n">
        <f aca="false">IF(C84/3&lt;=0,99,B53/(C84/3))</f>
        <v>1.91706564528385</v>
      </c>
      <c r="D86" s="128" t="n">
        <f aca="false">IF(D84/5&lt;=0,99,B53/(D84/5))</f>
        <v>1.68707562115498</v>
      </c>
      <c r="E86" s="128" t="n">
        <f aca="false">IF(E84/10&lt;=0,99,B53/(E84/10))</f>
        <v>1.54780793901414</v>
      </c>
      <c r="F86" s="128" t="n">
        <f aca="false">IF(F84/20&lt;=0,99,B53/(F84/20))</f>
        <v>1.48645470198181</v>
      </c>
      <c r="G86" s="128" t="n">
        <f aca="false">IF(G84/50&lt;=0,99,B53/(G84/50))</f>
        <v>1.45192321260121</v>
      </c>
      <c r="H86" s="85" t="s">
        <v>412</v>
      </c>
      <c r="I86" s="85"/>
      <c r="J86" s="85"/>
    </row>
    <row r="87" customFormat="false" ht="7.5" hidden="false" customHeight="true" outlineLevel="0" collapsed="false"/>
    <row r="88" customFormat="false" ht="19.5" hidden="false" customHeight="true" outlineLevel="0" collapsed="false">
      <c r="A88" s="119" t="s">
        <v>413</v>
      </c>
      <c r="B88" s="119"/>
      <c r="C88" s="119"/>
      <c r="D88" s="119"/>
      <c r="E88" s="119"/>
      <c r="F88" s="119"/>
      <c r="G88" s="119"/>
      <c r="H88" s="119"/>
      <c r="I88" s="119"/>
      <c r="J88" s="119"/>
    </row>
    <row r="89" customFormat="false" ht="36" hidden="false" customHeight="true" outlineLevel="0" collapsed="false">
      <c r="A89" s="41" t="s">
        <v>414</v>
      </c>
      <c r="B89" s="41" t="s">
        <v>415</v>
      </c>
      <c r="C89" s="41" t="s">
        <v>416</v>
      </c>
      <c r="D89" s="41" t="s">
        <v>417</v>
      </c>
      <c r="E89" s="41" t="s">
        <v>418</v>
      </c>
      <c r="F89" s="41" t="s">
        <v>419</v>
      </c>
      <c r="G89" s="41" t="s">
        <v>420</v>
      </c>
      <c r="H89" s="41" t="s">
        <v>421</v>
      </c>
      <c r="I89" s="42" t="s">
        <v>422</v>
      </c>
      <c r="J89" s="42"/>
    </row>
    <row r="90" customFormat="false" ht="19.5" hidden="false" customHeight="true" outlineLevel="0" collapsed="false">
      <c r="A90" s="19" t="n">
        <v>500</v>
      </c>
      <c r="B90" s="37" t="n">
        <f aca="false">IF(500=0,0,B75/500)</f>
        <v>5.41728</v>
      </c>
      <c r="C90" s="129" t="n">
        <f aca="false">IF((500*25)=0,0,((500*25)-(B68*25+B51*5+B52))/(500*25))</f>
        <v>-0.44355005504</v>
      </c>
      <c r="D90" s="34" t="n">
        <f aca="false">IF(((500*25)-(B68*25+B51*5+B52))/5&lt;=0,99,B53/(((500*25)-(B68*25+B51*5+B52))/5))</f>
        <v>99</v>
      </c>
      <c r="E90" s="129" t="n">
        <f aca="false">IF((500*50)=0,0,((500*50)-(B68*50+B51*10+B52))/(500*50))</f>
        <v>-0.12355005504</v>
      </c>
      <c r="F90" s="34" t="n">
        <f aca="false">IF(((500*50)-(B68*50+B51*10+B52))/10&lt;=0,99,B53/(((500*50)-(B68*50+B51*10+B52))/10))</f>
        <v>99</v>
      </c>
      <c r="G90" s="129" t="n">
        <f aca="false">IF((500*100)=0,0,((500*100)-(B68*100+B51*20+B52))/(500*100))</f>
        <v>0.03644994496</v>
      </c>
      <c r="H90" s="34" t="n">
        <f aca="false">IF(((500*100)-(B68*100+B51*20+B52))/20&lt;=0,99,B53/(((500*100)-(B68*100+B51*20+B52))/20))</f>
        <v>164.609302060247</v>
      </c>
      <c r="I90" s="85" t="s">
        <v>423</v>
      </c>
      <c r="J90" s="85"/>
    </row>
    <row r="91" customFormat="false" ht="19.5" hidden="false" customHeight="true" outlineLevel="0" collapsed="false">
      <c r="A91" s="19" t="n">
        <v>1000</v>
      </c>
      <c r="B91" s="37" t="n">
        <f aca="false">IF(1000=0,0,B75/1000)</f>
        <v>2.70864</v>
      </c>
      <c r="C91" s="130" t="n">
        <f aca="false">IF((1000*25)=0,0,((1000*25)-(B68*25+B51*5+B52))/(1000*25))</f>
        <v>0.27822497248</v>
      </c>
      <c r="D91" s="34" t="n">
        <f aca="false">IF(((1000*25)-(B68*25+B51*5+B52))/5&lt;=0,99,B53/(((1000*25)-(B68*25+B51*5+B52))/5))</f>
        <v>10.7826410162217</v>
      </c>
      <c r="E91" s="130" t="n">
        <f aca="false">IF((1000*50)=0,0,((1000*50)-(B68*50+B51*10+B52))/(1000*50))</f>
        <v>0.43822497248</v>
      </c>
      <c r="F91" s="34" t="n">
        <f aca="false">IF(((1000*50)-(B68*50+B51*10+B52))/10&lt;=0,99,B53/(((1000*50)-(B68*50+B51*10+B52))/10))</f>
        <v>6.84579882114527</v>
      </c>
      <c r="G91" s="130" t="n">
        <f aca="false">IF((1000*100)=0,0,((1000*100)-(B68*100+B51*20+B52))/(1000*100))</f>
        <v>0.51822497248</v>
      </c>
      <c r="H91" s="34" t="n">
        <f aca="false">IF(((1000*100)-(B68*100+B51*20+B52))/20&lt;=0,99,B53/(((1000*100)-(B68*100+B51*20+B52))/20))</f>
        <v>5.78899157569212</v>
      </c>
      <c r="I91" s="85" t="s">
        <v>424</v>
      </c>
      <c r="J91" s="85"/>
    </row>
    <row r="92" customFormat="false" ht="19.5" hidden="false" customHeight="true" outlineLevel="0" collapsed="false">
      <c r="A92" s="19" t="n">
        <v>1500</v>
      </c>
      <c r="B92" s="37" t="n">
        <f aca="false">IF(1500=0,0,B75/1500)</f>
        <v>1.80576</v>
      </c>
      <c r="C92" s="131" t="n">
        <f aca="false">IF((1500*25)=0,0,((1500*25)-(B68*25+B51*5+B52))/(1500*25))</f>
        <v>0.51881664832</v>
      </c>
      <c r="D92" s="34" t="n">
        <f aca="false">IF(((1500*25)-(B68*25+B51*5+B52))/5&lt;=0,99,B53/(((1500*25)-(B68*25+B51*5+B52))/5))</f>
        <v>3.85492641085493</v>
      </c>
      <c r="E92" s="131" t="n">
        <f aca="false">IF((1500*50)=0,0,((1500*50)-(B68*50+B51*10+B52))/(1500*50))</f>
        <v>0.625483314986667</v>
      </c>
      <c r="F92" s="34" t="n">
        <f aca="false">IF(((1500*50)-(B68*50+B51*10+B52))/10&lt;=0,99,B53/(((1500*50)-(B68*50+B51*10+B52))/10))</f>
        <v>3.19752733938656</v>
      </c>
      <c r="G92" s="131" t="n">
        <f aca="false">IF((1500*100)=0,0,((1500*100)-(B68*100+B51*20+B52))/(1500*100))</f>
        <v>0.67881664832</v>
      </c>
      <c r="H92" s="34" t="n">
        <f aca="false">IF(((1500*100)-(B68*100+B51*20+B52))/20&lt;=0,99,B53/(((1500*100)-(B68*100+B51*20+B52))/20))</f>
        <v>2.94630369621869</v>
      </c>
      <c r="I92" s="85" t="s">
        <v>425</v>
      </c>
      <c r="J92" s="85"/>
    </row>
    <row r="93" customFormat="false" ht="19.5" hidden="false" customHeight="true" outlineLevel="0" collapsed="false">
      <c r="A93" s="19" t="n">
        <v>2000</v>
      </c>
      <c r="B93" s="37" t="n">
        <f aca="false">IF(2000=0,0,B75/2000)</f>
        <v>1.35432</v>
      </c>
      <c r="C93" s="131" t="n">
        <f aca="false">IF((2000*25)=0,0,((2000*25)-(B68*25+B51*5+B52))/(2000*25))</f>
        <v>0.63911248624</v>
      </c>
      <c r="D93" s="34" t="n">
        <f aca="false">IF(((2000*25)-(B68*25+B51*5+B52))/5&lt;=0,99,B53/(((2000*25)-(B68*25+B51*5+B52))/5))</f>
        <v>2.34700468586483</v>
      </c>
      <c r="E93" s="131" t="n">
        <f aca="false">IF((2000*50)=0,0,((2000*50)-(B68*50+B51*10+B52))/(2000*50))</f>
        <v>0.71911248624</v>
      </c>
      <c r="F93" s="34" t="n">
        <f aca="false">IF(((2000*50)-(B68*50+B51*10+B52))/10&lt;=0,99,B53/(((2000*50)-(B68*50+B51*10+B52))/10))</f>
        <v>2.08590454025211</v>
      </c>
      <c r="G93" s="131" t="n">
        <f aca="false">IF((2000*100)=0,0,((2000*100)-(B68*100+B51*20+B52))/(2000*100))</f>
        <v>0.75911248624</v>
      </c>
      <c r="H93" s="34" t="n">
        <f aca="false">IF(((2000*100)-(B68*100+B51*20+B52))/20&lt;=0,99,B53/(((2000*100)-(B68*100+B51*20+B52))/20))</f>
        <v>1.97599173665253</v>
      </c>
      <c r="I93" s="85" t="s">
        <v>426</v>
      </c>
      <c r="J93" s="85"/>
    </row>
    <row r="94" customFormat="false" ht="19.5" hidden="false" customHeight="true" outlineLevel="0" collapsed="false">
      <c r="A94" s="19" t="n">
        <v>2500</v>
      </c>
      <c r="B94" s="132" t="n">
        <f aca="false">IF(2500=0,0,B75/2500)</f>
        <v>1.083456</v>
      </c>
      <c r="C94" s="131" t="n">
        <f aca="false">IF((2500*25)=0,0,((2500*25)-(B68*25+B51*5+B52))/(2500*25))</f>
        <v>0.711289988992</v>
      </c>
      <c r="D94" s="34" t="n">
        <f aca="false">IF(((2500*25)-(B68*25+B51*5+B52))/5&lt;=0,99,B53/(((2500*25)-(B68*25+B51*5+B52))/5))</f>
        <v>1.68707562115498</v>
      </c>
      <c r="E94" s="131" t="n">
        <f aca="false">IF((2500*50)=0,0,((2500*50)-(B68*50+B51*10+B52))/(2500*50))</f>
        <v>0.775289988992</v>
      </c>
      <c r="F94" s="34" t="n">
        <f aca="false">IF(((2500*50)-(B68*50+B51*10+B52))/10&lt;=0,99,B53/(((2500*50)-(B68*50+B51*10+B52))/10))</f>
        <v>1.54780793901414</v>
      </c>
      <c r="G94" s="131" t="n">
        <f aca="false">IF((2500*100)=0,0,((2500*100)-(B68*100+B51*20+B52))/(2500*100))</f>
        <v>0.807289988992</v>
      </c>
      <c r="H94" s="34" t="n">
        <f aca="false">IF(((2500*100)-(B68*100+B51*20+B52))/20&lt;=0,99,B53/(((2500*100)-(B68*100+B51*20+B52))/20))</f>
        <v>1.48645470198181</v>
      </c>
      <c r="I94" s="85" t="s">
        <v>427</v>
      </c>
      <c r="J94" s="85"/>
    </row>
    <row r="95" customFormat="false" ht="19.5" hidden="false" customHeight="true" outlineLevel="0" collapsed="false">
      <c r="A95" s="19" t="n">
        <v>3000</v>
      </c>
      <c r="B95" s="132" t="n">
        <f aca="false">IF(3000=0,0,B75/3000)</f>
        <v>0.90288</v>
      </c>
      <c r="C95" s="131" t="n">
        <f aca="false">IF((3000*25)=0,0,((3000*25)-(B68*25+B51*5+B52))/(3000*25))</f>
        <v>0.75940832416</v>
      </c>
      <c r="D95" s="34" t="n">
        <f aca="false">IF(((3000*25)-(B68*25+B51*5+B52))/5&lt;=0,99,B53/(((3000*25)-(B68*25+B51*5+B52))/5))</f>
        <v>1.31681464132767</v>
      </c>
      <c r="E95" s="131" t="n">
        <f aca="false">IF((3000*50)=0,0,((3000*50)-(B68*50+B51*10+B52))/(3000*50))</f>
        <v>0.812741657493333</v>
      </c>
      <c r="F95" s="34" t="n">
        <f aca="false">IF(((3000*50)-(B68*50+B51*10+B52))/10&lt;=0,99,B53/(((3000*50)-(B68*50+B51*10+B52))/10))</f>
        <v>1.23040327855743</v>
      </c>
      <c r="G95" s="131" t="n">
        <f aca="false">IF((3000*100)=0,0,((3000*100)-(B68*100+B51*20+B52))/(3000*100))</f>
        <v>0.83940832416</v>
      </c>
      <c r="H95" s="34" t="n">
        <f aca="false">IF(((3000*100)-(B68*100+B51*20+B52))/20&lt;=0,99,B53/(((3000*100)-(B68*100+B51*20+B52))/20))</f>
        <v>1.19131532439913</v>
      </c>
      <c r="I95" s="85" t="s">
        <v>428</v>
      </c>
      <c r="J95" s="85"/>
    </row>
    <row r="96" customFormat="false" ht="19.5" hidden="false" customHeight="true" outlineLevel="0" collapsed="false">
      <c r="A96" s="19" t="n">
        <v>4000</v>
      </c>
      <c r="B96" s="132" t="n">
        <f aca="false">IF(4000=0,0,B75/4000)</f>
        <v>0.67716</v>
      </c>
      <c r="C96" s="131" t="n">
        <f aca="false">IF((4000*25)=0,0,((4000*25)-(B68*25+B51*5+B52))/(4000*25))</f>
        <v>0.81955624312</v>
      </c>
      <c r="D96" s="34" t="n">
        <f aca="false">IF(((4000*25)-(B68*25+B51*5+B52))/5&lt;=0,99,B53/(((4000*25)-(B68*25+B51*5+B52))/5))</f>
        <v>0.915129384097907</v>
      </c>
      <c r="E96" s="131" t="n">
        <f aca="false">IF((4000*50)=0,0,((4000*50)-(B68*50+B51*10+B52))/(4000*50))</f>
        <v>0.85955624312</v>
      </c>
      <c r="F96" s="34" t="n">
        <f aca="false">IF(((4000*50)-(B68*50+B51*10+B52))/10&lt;=0,99,B53/(((4000*50)-(B68*50+B51*10+B52))/10))</f>
        <v>0.872543252408551</v>
      </c>
      <c r="G96" s="131" t="n">
        <f aca="false">IF((4000*100)=0,0,((4000*100)-(B68*100+B51*20+B52))/(4000*100))</f>
        <v>0.87955624312</v>
      </c>
      <c r="H96" s="34" t="n">
        <f aca="false">IF(((4000*100)-(B68*100+B51*20+B52))/20&lt;=0,99,B53/(((4000*100)-(B68*100+B51*20+B52))/20))</f>
        <v>0.852702718975159</v>
      </c>
      <c r="I96" s="85" t="s">
        <v>429</v>
      </c>
      <c r="J96" s="85"/>
    </row>
    <row r="97" customFormat="false" ht="19.5" hidden="false" customHeight="true" outlineLevel="0" collapsed="false">
      <c r="A97" s="19" t="n">
        <v>5000</v>
      </c>
      <c r="B97" s="132" t="n">
        <f aca="false">IF(5000=0,0,B75/5000)</f>
        <v>0.541728</v>
      </c>
      <c r="C97" s="131" t="n">
        <f aca="false">IF((5000*25)=0,0,((5000*25)-(B68*25+B51*5+B52))/(5000*25))</f>
        <v>0.855644994496</v>
      </c>
      <c r="D97" s="34" t="n">
        <f aca="false">IF(((5000*25)-(B68*25+B51*5+B52))/5&lt;=0,99,B53/(((5000*25)-(B68*25+B51*5+B52))/5))</f>
        <v>0.701225395882106</v>
      </c>
      <c r="E97" s="131" t="n">
        <f aca="false">IF((5000*50)=0,0,((5000*50)-(B68*50+B51*10+B52))/(5000*50))</f>
        <v>0.887644994496</v>
      </c>
      <c r="F97" s="34" t="n">
        <f aca="false">IF(((5000*50)-(B68*50+B51*10+B52))/10&lt;=0,99,B53/(((5000*50)-(B68*50+B51*10+B52))/10))</f>
        <v>0.675945905987649</v>
      </c>
      <c r="G97" s="131" t="n">
        <f aca="false">IF((5000*100)=0,0,((5000*100)-(B68*100+B51*20+B52))/(5000*100))</f>
        <v>0.903644994496</v>
      </c>
      <c r="H97" s="34" t="n">
        <f aca="false">IF(((5000*100)-(B68*100+B51*20+B52))/20&lt;=0,99,B53/(((5000*100)-(B68*100+B51*20+B52))/20))</f>
        <v>0.663977561602767</v>
      </c>
      <c r="I97" s="85" t="s">
        <v>430</v>
      </c>
      <c r="J97" s="85"/>
    </row>
    <row r="98" customFormat="false" ht="7.5" hidden="false" customHeight="true" outlineLevel="0" collapsed="false"/>
    <row r="99" customFormat="false" ht="63.75" hidden="false" customHeight="true" outlineLevel="0" collapsed="false">
      <c r="A99" s="133" t="s">
        <v>431</v>
      </c>
      <c r="B99" s="133"/>
      <c r="C99" s="133"/>
      <c r="D99" s="133"/>
      <c r="E99" s="133"/>
      <c r="F99" s="133"/>
      <c r="G99" s="133"/>
      <c r="H99" s="133"/>
      <c r="I99" s="133"/>
      <c r="J99" s="133"/>
    </row>
  </sheetData>
  <mergeCells count="66">
    <mergeCell ref="A1:J1"/>
    <mergeCell ref="A2:J2"/>
    <mergeCell ref="A4:J4"/>
    <mergeCell ref="E5:J5"/>
    <mergeCell ref="E6:J6"/>
    <mergeCell ref="E7:J7"/>
    <mergeCell ref="E8:J8"/>
    <mergeCell ref="E9:J9"/>
    <mergeCell ref="E10:J10"/>
    <mergeCell ref="E11:J11"/>
    <mergeCell ref="A13:J13"/>
    <mergeCell ref="C14:J14"/>
    <mergeCell ref="C15:J15"/>
    <mergeCell ref="C16:J16"/>
    <mergeCell ref="C17:J17"/>
    <mergeCell ref="C18:J18"/>
    <mergeCell ref="C19:J19"/>
    <mergeCell ref="C20:J20"/>
    <mergeCell ref="A38:J38"/>
    <mergeCell ref="A40:J40"/>
    <mergeCell ref="C41:J41"/>
    <mergeCell ref="C42:J42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52:J52"/>
    <mergeCell ref="C53:J53"/>
    <mergeCell ref="C54:J54"/>
    <mergeCell ref="A65:J65"/>
    <mergeCell ref="C66:J66"/>
    <mergeCell ref="C67:J67"/>
    <mergeCell ref="C68:J68"/>
    <mergeCell ref="C69:J69"/>
    <mergeCell ref="C70:J70"/>
    <mergeCell ref="C71:J71"/>
    <mergeCell ref="C72:J72"/>
    <mergeCell ref="C73:J73"/>
    <mergeCell ref="C74:J74"/>
    <mergeCell ref="C75:J75"/>
    <mergeCell ref="C76:J76"/>
    <mergeCell ref="A78:J78"/>
    <mergeCell ref="H79:J79"/>
    <mergeCell ref="H80:J80"/>
    <mergeCell ref="H81:J81"/>
    <mergeCell ref="H82:J82"/>
    <mergeCell ref="H83:J83"/>
    <mergeCell ref="H84:J84"/>
    <mergeCell ref="H85:J85"/>
    <mergeCell ref="H86:J86"/>
    <mergeCell ref="A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A99:J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8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2" t="s">
        <v>432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83" t="s">
        <v>433</v>
      </c>
      <c r="B2" s="83"/>
      <c r="C2" s="83"/>
      <c r="D2" s="83"/>
      <c r="E2" s="83"/>
      <c r="F2" s="83"/>
      <c r="G2" s="83"/>
      <c r="H2" s="83"/>
      <c r="I2" s="83"/>
    </row>
    <row r="3" customFormat="false" ht="7.5" hidden="false" customHeight="true" outlineLevel="0" collapsed="false"/>
    <row r="4" customFormat="false" ht="19.5" hidden="false" customHeight="true" outlineLevel="0" collapsed="false">
      <c r="A4" s="8" t="s">
        <v>434</v>
      </c>
      <c r="B4" s="8"/>
      <c r="C4" s="8"/>
      <c r="D4" s="8"/>
      <c r="E4" s="8"/>
      <c r="F4" s="8"/>
      <c r="G4" s="8"/>
      <c r="H4" s="8"/>
      <c r="I4" s="8"/>
    </row>
    <row r="5" customFormat="false" ht="18" hidden="false" customHeight="true" outlineLevel="0" collapsed="false">
      <c r="A5" s="18" t="s">
        <v>7</v>
      </c>
      <c r="B5" s="10" t="n">
        <v>50</v>
      </c>
      <c r="C5" s="85" t="s">
        <v>435</v>
      </c>
      <c r="D5" s="85"/>
      <c r="E5" s="85"/>
      <c r="F5" s="85"/>
      <c r="G5" s="85"/>
      <c r="H5" s="85"/>
      <c r="I5" s="85"/>
    </row>
    <row r="6" customFormat="false" ht="18" hidden="false" customHeight="true" outlineLevel="0" collapsed="false">
      <c r="A6" s="18" t="s">
        <v>436</v>
      </c>
      <c r="B6" s="10" t="n">
        <v>8</v>
      </c>
      <c r="C6" s="85" t="s">
        <v>437</v>
      </c>
      <c r="D6" s="85"/>
      <c r="E6" s="85"/>
      <c r="F6" s="85"/>
      <c r="G6" s="85"/>
      <c r="H6" s="85"/>
      <c r="I6" s="85"/>
    </row>
    <row r="7" customFormat="false" ht="18" hidden="false" customHeight="true" outlineLevel="0" collapsed="false">
      <c r="A7" s="18" t="s">
        <v>438</v>
      </c>
      <c r="B7" s="10" t="n">
        <v>26</v>
      </c>
      <c r="C7" s="85" t="s">
        <v>439</v>
      </c>
      <c r="D7" s="85"/>
      <c r="E7" s="85"/>
      <c r="F7" s="85"/>
      <c r="G7" s="85"/>
      <c r="H7" s="85"/>
      <c r="I7" s="85"/>
    </row>
    <row r="8" customFormat="false" ht="18" hidden="false" customHeight="true" outlineLevel="0" collapsed="false">
      <c r="A8" s="18" t="s">
        <v>440</v>
      </c>
      <c r="B8" s="12" t="n">
        <v>60</v>
      </c>
      <c r="C8" s="85" t="s">
        <v>441</v>
      </c>
      <c r="D8" s="85"/>
      <c r="E8" s="85"/>
      <c r="F8" s="85"/>
      <c r="G8" s="85"/>
      <c r="H8" s="85"/>
      <c r="I8" s="85"/>
    </row>
    <row r="9" customFormat="false" ht="18" hidden="false" customHeight="true" outlineLevel="0" collapsed="false">
      <c r="A9" s="18" t="s">
        <v>442</v>
      </c>
      <c r="B9" s="134" t="n">
        <v>110</v>
      </c>
      <c r="C9" s="85" t="s">
        <v>443</v>
      </c>
      <c r="D9" s="85"/>
      <c r="E9" s="85"/>
      <c r="F9" s="85"/>
      <c r="G9" s="85"/>
      <c r="H9" s="85"/>
      <c r="I9" s="85"/>
    </row>
    <row r="10" customFormat="false" ht="18" hidden="false" customHeight="true" outlineLevel="0" collapsed="false">
      <c r="A10" s="18" t="s">
        <v>444</v>
      </c>
      <c r="B10" s="134" t="n">
        <v>85</v>
      </c>
      <c r="C10" s="85"/>
      <c r="D10" s="85"/>
      <c r="E10" s="85"/>
      <c r="F10" s="85"/>
      <c r="G10" s="85"/>
      <c r="H10" s="85"/>
      <c r="I10" s="85"/>
    </row>
    <row r="11" customFormat="false" ht="18" hidden="false" customHeight="true" outlineLevel="0" collapsed="false">
      <c r="A11" s="18" t="s">
        <v>445</v>
      </c>
      <c r="B11" s="134" t="n">
        <v>130</v>
      </c>
      <c r="C11" s="85"/>
      <c r="D11" s="85"/>
      <c r="E11" s="85"/>
      <c r="F11" s="85"/>
      <c r="G11" s="85"/>
      <c r="H11" s="85"/>
      <c r="I11" s="85"/>
    </row>
    <row r="12" customFormat="false" ht="18" hidden="false" customHeight="true" outlineLevel="0" collapsed="false">
      <c r="A12" s="18" t="s">
        <v>15</v>
      </c>
      <c r="B12" s="135" t="n">
        <v>1.35</v>
      </c>
      <c r="C12" s="85" t="s">
        <v>446</v>
      </c>
      <c r="D12" s="85"/>
      <c r="E12" s="85"/>
      <c r="F12" s="85"/>
      <c r="G12" s="85"/>
      <c r="H12" s="85"/>
      <c r="I12" s="85"/>
    </row>
    <row r="13" customFormat="false" ht="18" hidden="false" customHeight="true" outlineLevel="0" collapsed="false">
      <c r="A13" s="18" t="s">
        <v>447</v>
      </c>
      <c r="B13" s="10" t="n">
        <v>5</v>
      </c>
      <c r="C13" s="85" t="s">
        <v>448</v>
      </c>
      <c r="D13" s="85"/>
      <c r="E13" s="85"/>
      <c r="F13" s="85"/>
      <c r="G13" s="85"/>
      <c r="H13" s="85"/>
      <c r="I13" s="85"/>
    </row>
    <row r="14" customFormat="false" ht="18" hidden="false" customHeight="true" outlineLevel="0" collapsed="false">
      <c r="A14" s="18" t="s">
        <v>449</v>
      </c>
      <c r="B14" s="136" t="n">
        <v>0.6</v>
      </c>
      <c r="C14" s="85" t="s">
        <v>450</v>
      </c>
      <c r="D14" s="85"/>
      <c r="E14" s="85"/>
      <c r="F14" s="85"/>
      <c r="G14" s="85"/>
      <c r="H14" s="85"/>
      <c r="I14" s="85"/>
    </row>
    <row r="15" customFormat="false" ht="18" hidden="false" customHeight="true" outlineLevel="0" collapsed="false">
      <c r="A15" s="18" t="s">
        <v>451</v>
      </c>
      <c r="B15" s="136" t="n">
        <v>1</v>
      </c>
      <c r="C15" s="85" t="s">
        <v>452</v>
      </c>
      <c r="D15" s="85"/>
      <c r="E15" s="85"/>
      <c r="F15" s="85"/>
      <c r="G15" s="85"/>
      <c r="H15" s="85"/>
      <c r="I15" s="85"/>
    </row>
    <row r="16" customFormat="false" ht="7.5" hidden="false" customHeight="true" outlineLevel="0" collapsed="false"/>
    <row r="17" customFormat="false" ht="19.5" hidden="false" customHeight="true" outlineLevel="0" collapsed="false">
      <c r="A17" s="137" t="s">
        <v>453</v>
      </c>
      <c r="B17" s="137"/>
      <c r="C17" s="137"/>
      <c r="D17" s="137"/>
      <c r="E17" s="137"/>
      <c r="F17" s="137"/>
      <c r="G17" s="137"/>
      <c r="H17" s="137"/>
      <c r="I17" s="137"/>
    </row>
    <row r="18" customFormat="false" ht="18" hidden="false" customHeight="true" outlineLevel="0" collapsed="false">
      <c r="A18" s="18" t="s">
        <v>454</v>
      </c>
      <c r="B18" s="25" t="n">
        <v>1.5</v>
      </c>
      <c r="C18" s="85" t="s">
        <v>455</v>
      </c>
      <c r="D18" s="85"/>
      <c r="E18" s="85"/>
      <c r="F18" s="85"/>
      <c r="G18" s="85"/>
      <c r="H18" s="85"/>
      <c r="I18" s="85"/>
    </row>
    <row r="19" customFormat="false" ht="18" hidden="false" customHeight="true" outlineLevel="0" collapsed="false">
      <c r="A19" s="18" t="s">
        <v>456</v>
      </c>
      <c r="B19" s="12" t="n">
        <v>50</v>
      </c>
      <c r="C19" s="85" t="s">
        <v>457</v>
      </c>
      <c r="D19" s="85"/>
      <c r="E19" s="85"/>
      <c r="F19" s="85"/>
      <c r="G19" s="85"/>
      <c r="H19" s="85"/>
      <c r="I19" s="85"/>
    </row>
    <row r="20" customFormat="false" ht="18" hidden="false" customHeight="true" outlineLevel="0" collapsed="false">
      <c r="A20" s="18" t="s">
        <v>458</v>
      </c>
      <c r="B20" s="134" t="n">
        <v>110</v>
      </c>
      <c r="C20" s="85" t="s">
        <v>459</v>
      </c>
      <c r="D20" s="85"/>
      <c r="E20" s="85"/>
      <c r="F20" s="85"/>
      <c r="G20" s="85"/>
      <c r="H20" s="85"/>
      <c r="I20" s="85"/>
    </row>
    <row r="21" customFormat="false" ht="3.75" hidden="false" customHeight="true" outlineLevel="0" collapsed="false"/>
    <row r="22" customFormat="false" ht="18" hidden="false" customHeight="true" outlineLevel="0" collapsed="false">
      <c r="A22" s="18" t="s">
        <v>460</v>
      </c>
      <c r="B22" s="138" t="n">
        <f aca="false">B18*(B19/100)*B13</f>
        <v>3.75</v>
      </c>
      <c r="C22" s="85" t="s">
        <v>461</v>
      </c>
      <c r="D22" s="85"/>
      <c r="E22" s="85"/>
      <c r="F22" s="85"/>
      <c r="G22" s="85"/>
      <c r="H22" s="85"/>
      <c r="I22" s="85"/>
    </row>
    <row r="23" customFormat="false" ht="18" hidden="false" customHeight="true" outlineLevel="0" collapsed="false">
      <c r="A23" s="18" t="s">
        <v>462</v>
      </c>
      <c r="B23" s="138" t="n">
        <f aca="false">B22*B5</f>
        <v>187.5</v>
      </c>
      <c r="C23" s="85" t="s">
        <v>463</v>
      </c>
      <c r="D23" s="85"/>
      <c r="E23" s="85"/>
      <c r="F23" s="85"/>
      <c r="G23" s="85"/>
      <c r="H23" s="85"/>
      <c r="I23" s="85"/>
    </row>
    <row r="24" customFormat="false" ht="18" hidden="false" customHeight="true" outlineLevel="0" collapsed="false">
      <c r="A24" s="114" t="s">
        <v>464</v>
      </c>
      <c r="B24" s="139" t="n">
        <f aca="false">B23*B7</f>
        <v>4875</v>
      </c>
      <c r="C24" s="85" t="s">
        <v>465</v>
      </c>
      <c r="D24" s="85"/>
      <c r="E24" s="85"/>
      <c r="F24" s="85"/>
      <c r="G24" s="85"/>
      <c r="H24" s="85"/>
      <c r="I24" s="85"/>
    </row>
    <row r="25" customFormat="false" ht="18" hidden="false" customHeight="true" outlineLevel="0" collapsed="false">
      <c r="A25" s="114" t="s">
        <v>466</v>
      </c>
      <c r="B25" s="140" t="n">
        <f aca="false">B24*B20*B12</f>
        <v>723937.5</v>
      </c>
      <c r="C25" s="85" t="s">
        <v>467</v>
      </c>
      <c r="D25" s="85"/>
      <c r="E25" s="85"/>
      <c r="F25" s="85"/>
      <c r="G25" s="85"/>
      <c r="H25" s="85"/>
      <c r="I25" s="85"/>
    </row>
    <row r="26" customFormat="false" ht="7.5" hidden="false" customHeight="true" outlineLevel="0" collapsed="false"/>
    <row r="27" customFormat="false" ht="19.5" hidden="false" customHeight="true" outlineLevel="0" collapsed="false">
      <c r="A27" s="137" t="s">
        <v>468</v>
      </c>
      <c r="B27" s="137"/>
      <c r="C27" s="137"/>
      <c r="D27" s="137"/>
      <c r="E27" s="137"/>
      <c r="F27" s="137"/>
      <c r="G27" s="137"/>
      <c r="H27" s="137"/>
      <c r="I27" s="137"/>
    </row>
    <row r="28" customFormat="false" ht="19.5" hidden="false" customHeight="true" outlineLevel="0" collapsed="false">
      <c r="A28" s="18" t="s">
        <v>469</v>
      </c>
      <c r="B28" s="12" t="n">
        <v>15</v>
      </c>
      <c r="C28" s="85" t="s">
        <v>470</v>
      </c>
      <c r="D28" s="85"/>
      <c r="E28" s="85"/>
      <c r="F28" s="85"/>
      <c r="G28" s="85"/>
      <c r="H28" s="85"/>
      <c r="I28" s="85"/>
    </row>
    <row r="29" customFormat="false" ht="19.5" hidden="false" customHeight="true" outlineLevel="0" collapsed="false">
      <c r="A29" s="18" t="s">
        <v>471</v>
      </c>
      <c r="B29" s="25" t="n">
        <v>4</v>
      </c>
      <c r="C29" s="85" t="s">
        <v>472</v>
      </c>
      <c r="D29" s="85"/>
      <c r="E29" s="85"/>
      <c r="F29" s="85"/>
      <c r="G29" s="85"/>
      <c r="H29" s="85"/>
      <c r="I29" s="85"/>
    </row>
    <row r="30" customFormat="false" ht="19.5" hidden="false" customHeight="true" outlineLevel="0" collapsed="false">
      <c r="A30" s="18" t="s">
        <v>473</v>
      </c>
      <c r="B30" s="25" t="n">
        <v>0.5</v>
      </c>
      <c r="C30" s="85" t="s">
        <v>474</v>
      </c>
      <c r="D30" s="85"/>
      <c r="E30" s="85"/>
      <c r="F30" s="85"/>
      <c r="G30" s="85"/>
      <c r="H30" s="85"/>
      <c r="I30" s="85"/>
    </row>
    <row r="31" customFormat="false" ht="19.5" hidden="false" customHeight="true" outlineLevel="0" collapsed="false">
      <c r="A31" s="18" t="s">
        <v>475</v>
      </c>
      <c r="B31" s="134" t="n">
        <v>3000</v>
      </c>
      <c r="C31" s="85" t="s">
        <v>476</v>
      </c>
      <c r="D31" s="85"/>
      <c r="E31" s="85"/>
      <c r="F31" s="85"/>
      <c r="G31" s="85"/>
      <c r="H31" s="85"/>
      <c r="I31" s="85"/>
    </row>
    <row r="32" customFormat="false" ht="3.75" hidden="false" customHeight="true" outlineLevel="0" collapsed="false"/>
    <row r="33" customFormat="false" ht="18" hidden="false" customHeight="true" outlineLevel="0" collapsed="false">
      <c r="A33" s="18" t="s">
        <v>477</v>
      </c>
      <c r="B33" s="38" t="n">
        <f aca="false">B5*B6*(B8/100)</f>
        <v>240</v>
      </c>
      <c r="C33" s="85" t="s">
        <v>478</v>
      </c>
      <c r="D33" s="85"/>
      <c r="E33" s="85"/>
      <c r="F33" s="85"/>
      <c r="G33" s="85"/>
      <c r="H33" s="85"/>
      <c r="I33" s="85"/>
    </row>
    <row r="34" customFormat="false" ht="18" hidden="false" customHeight="true" outlineLevel="0" collapsed="false">
      <c r="A34" s="18" t="s">
        <v>479</v>
      </c>
      <c r="B34" s="138" t="n">
        <f aca="false">B33*(B28/100)</f>
        <v>36</v>
      </c>
      <c r="C34" s="85" t="s">
        <v>480</v>
      </c>
      <c r="D34" s="85"/>
      <c r="E34" s="85"/>
      <c r="F34" s="85"/>
      <c r="G34" s="85"/>
      <c r="H34" s="85"/>
      <c r="I34" s="85"/>
    </row>
    <row r="35" customFormat="false" ht="18" hidden="false" customHeight="true" outlineLevel="0" collapsed="false">
      <c r="A35" s="18" t="s">
        <v>481</v>
      </c>
      <c r="B35" s="141" t="n">
        <f aca="false">B34*B29*((B9*0.5+B10*0.25+B11*0.25))*B12</f>
        <v>21141</v>
      </c>
      <c r="C35" s="85" t="s">
        <v>482</v>
      </c>
      <c r="D35" s="85"/>
      <c r="E35" s="85"/>
      <c r="F35" s="85"/>
      <c r="G35" s="85"/>
      <c r="H35" s="85"/>
      <c r="I35" s="85"/>
    </row>
    <row r="36" customFormat="false" ht="18" hidden="false" customHeight="true" outlineLevel="0" collapsed="false">
      <c r="A36" s="18" t="s">
        <v>483</v>
      </c>
      <c r="B36" s="142" t="n">
        <f aca="false">B34*B31</f>
        <v>108000</v>
      </c>
      <c r="C36" s="85" t="s">
        <v>484</v>
      </c>
      <c r="D36" s="85"/>
      <c r="E36" s="85"/>
      <c r="F36" s="85"/>
      <c r="G36" s="85"/>
      <c r="H36" s="85"/>
      <c r="I36" s="85"/>
    </row>
    <row r="37" customFormat="false" ht="18" hidden="false" customHeight="true" outlineLevel="0" collapsed="false">
      <c r="A37" s="114" t="s">
        <v>485</v>
      </c>
      <c r="B37" s="140" t="n">
        <f aca="false">B35*B7</f>
        <v>549666</v>
      </c>
      <c r="C37" s="85" t="s">
        <v>465</v>
      </c>
      <c r="D37" s="85"/>
      <c r="E37" s="85"/>
      <c r="F37" s="85"/>
      <c r="G37" s="85"/>
      <c r="H37" s="85"/>
      <c r="I37" s="85"/>
    </row>
    <row r="38" customFormat="false" ht="18" hidden="false" customHeight="true" outlineLevel="0" collapsed="false">
      <c r="A38" s="114" t="s">
        <v>486</v>
      </c>
      <c r="B38" s="140" t="n">
        <f aca="false">B36*B7</f>
        <v>2808000</v>
      </c>
      <c r="C38" s="85" t="s">
        <v>487</v>
      </c>
      <c r="D38" s="85"/>
      <c r="E38" s="85"/>
      <c r="F38" s="85"/>
      <c r="G38" s="85"/>
      <c r="H38" s="85"/>
      <c r="I38" s="85"/>
    </row>
    <row r="39" customFormat="false" ht="18" hidden="false" customHeight="true" outlineLevel="0" collapsed="false">
      <c r="A39" s="114" t="s">
        <v>488</v>
      </c>
      <c r="B39" s="140" t="n">
        <f aca="false">B37+B38</f>
        <v>3357666</v>
      </c>
      <c r="C39" s="85" t="s">
        <v>489</v>
      </c>
      <c r="D39" s="85"/>
      <c r="E39" s="85"/>
      <c r="F39" s="85"/>
      <c r="G39" s="85"/>
      <c r="H39" s="85"/>
      <c r="I39" s="85"/>
    </row>
    <row r="40" customFormat="false" ht="7.5" hidden="false" customHeight="true" outlineLevel="0" collapsed="false"/>
    <row r="41" customFormat="false" ht="19.5" hidden="false" customHeight="true" outlineLevel="0" collapsed="false">
      <c r="A41" s="137" t="s">
        <v>490</v>
      </c>
      <c r="B41" s="137"/>
      <c r="C41" s="137"/>
      <c r="D41" s="137"/>
      <c r="E41" s="137"/>
      <c r="F41" s="137"/>
      <c r="G41" s="137"/>
      <c r="H41" s="137"/>
      <c r="I41" s="137"/>
    </row>
    <row r="42" customFormat="false" ht="19.5" hidden="false" customHeight="true" outlineLevel="0" collapsed="false">
      <c r="A42" s="18" t="s">
        <v>491</v>
      </c>
      <c r="B42" s="12" t="n">
        <v>30</v>
      </c>
      <c r="C42" s="85" t="s">
        <v>492</v>
      </c>
      <c r="D42" s="85"/>
      <c r="E42" s="85"/>
      <c r="F42" s="85"/>
      <c r="G42" s="85"/>
      <c r="H42" s="85"/>
      <c r="I42" s="85"/>
    </row>
    <row r="43" customFormat="false" ht="19.5" hidden="false" customHeight="true" outlineLevel="0" collapsed="false">
      <c r="A43" s="18" t="s">
        <v>493</v>
      </c>
      <c r="B43" s="25" t="n">
        <v>0.5</v>
      </c>
      <c r="C43" s="85" t="s">
        <v>494</v>
      </c>
      <c r="D43" s="85"/>
      <c r="E43" s="85"/>
      <c r="F43" s="85"/>
      <c r="G43" s="85"/>
      <c r="H43" s="85"/>
      <c r="I43" s="85"/>
    </row>
    <row r="44" customFormat="false" ht="19.5" hidden="false" customHeight="true" outlineLevel="0" collapsed="false">
      <c r="A44" s="18" t="s">
        <v>495</v>
      </c>
      <c r="B44" s="25" t="n">
        <v>2</v>
      </c>
      <c r="C44" s="85" t="s">
        <v>496</v>
      </c>
      <c r="D44" s="85"/>
      <c r="E44" s="85"/>
      <c r="F44" s="85"/>
      <c r="G44" s="85"/>
      <c r="H44" s="85"/>
      <c r="I44" s="85"/>
    </row>
    <row r="45" customFormat="false" ht="19.5" hidden="false" customHeight="true" outlineLevel="0" collapsed="false">
      <c r="A45" s="18" t="s">
        <v>497</v>
      </c>
      <c r="B45" s="134" t="n">
        <v>110</v>
      </c>
      <c r="C45" s="85"/>
      <c r="D45" s="85"/>
      <c r="E45" s="85"/>
      <c r="F45" s="85"/>
      <c r="G45" s="85"/>
      <c r="H45" s="85"/>
      <c r="I45" s="85"/>
    </row>
    <row r="46" customFormat="false" ht="3.75" hidden="false" customHeight="true" outlineLevel="0" collapsed="false"/>
    <row r="47" customFormat="false" ht="18" hidden="false" customHeight="true" outlineLevel="0" collapsed="false">
      <c r="A47" s="18" t="s">
        <v>498</v>
      </c>
      <c r="B47" s="138" t="n">
        <f aca="false">B33*(B42/100)</f>
        <v>72</v>
      </c>
      <c r="C47" s="85" t="s">
        <v>499</v>
      </c>
      <c r="D47" s="85"/>
      <c r="E47" s="85"/>
      <c r="F47" s="85"/>
      <c r="G47" s="85"/>
      <c r="H47" s="85"/>
      <c r="I47" s="85"/>
    </row>
    <row r="48" customFormat="false" ht="18" hidden="false" customHeight="true" outlineLevel="0" collapsed="false">
      <c r="A48" s="18" t="s">
        <v>500</v>
      </c>
      <c r="B48" s="138" t="n">
        <f aca="false">B47*B43*B44</f>
        <v>72</v>
      </c>
      <c r="C48" s="85" t="s">
        <v>501</v>
      </c>
      <c r="D48" s="85"/>
      <c r="E48" s="85"/>
      <c r="F48" s="85"/>
      <c r="G48" s="85"/>
      <c r="H48" s="85"/>
      <c r="I48" s="85"/>
    </row>
    <row r="49" customFormat="false" ht="18" hidden="false" customHeight="true" outlineLevel="0" collapsed="false">
      <c r="A49" s="114" t="s">
        <v>502</v>
      </c>
      <c r="B49" s="140" t="n">
        <f aca="false">B48*B7*B45*B12</f>
        <v>277992</v>
      </c>
      <c r="C49" s="85" t="s">
        <v>503</v>
      </c>
      <c r="D49" s="85"/>
      <c r="E49" s="85"/>
      <c r="F49" s="85"/>
      <c r="G49" s="85"/>
      <c r="H49" s="85"/>
      <c r="I49" s="85"/>
    </row>
    <row r="50" customFormat="false" ht="7.5" hidden="false" customHeight="true" outlineLevel="0" collapsed="false"/>
    <row r="51" customFormat="false" ht="19.5" hidden="false" customHeight="true" outlineLevel="0" collapsed="false">
      <c r="A51" s="137" t="s">
        <v>504</v>
      </c>
      <c r="B51" s="137"/>
      <c r="C51" s="137"/>
      <c r="D51" s="137"/>
      <c r="E51" s="137"/>
      <c r="F51" s="137"/>
      <c r="G51" s="137"/>
      <c r="H51" s="137"/>
      <c r="I51" s="137"/>
    </row>
    <row r="52" customFormat="false" ht="19.5" hidden="false" customHeight="true" outlineLevel="0" collapsed="false">
      <c r="A52" s="18" t="s">
        <v>505</v>
      </c>
      <c r="B52" s="12" t="n">
        <v>40</v>
      </c>
      <c r="C52" s="85" t="s">
        <v>506</v>
      </c>
      <c r="D52" s="85"/>
      <c r="E52" s="85"/>
      <c r="F52" s="85"/>
      <c r="G52" s="85"/>
      <c r="H52" s="85"/>
      <c r="I52" s="85"/>
    </row>
    <row r="53" customFormat="false" ht="19.5" hidden="false" customHeight="true" outlineLevel="0" collapsed="false">
      <c r="A53" s="18" t="s">
        <v>507</v>
      </c>
      <c r="B53" s="12" t="n">
        <v>20</v>
      </c>
      <c r="C53" s="85" t="s">
        <v>508</v>
      </c>
      <c r="D53" s="85"/>
      <c r="E53" s="85"/>
      <c r="F53" s="85"/>
      <c r="G53" s="85"/>
      <c r="H53" s="85"/>
      <c r="I53" s="85"/>
    </row>
    <row r="54" customFormat="false" ht="19.5" hidden="false" customHeight="true" outlineLevel="0" collapsed="false">
      <c r="A54" s="18" t="s">
        <v>509</v>
      </c>
      <c r="B54" s="134" t="n">
        <v>2500</v>
      </c>
      <c r="C54" s="85" t="s">
        <v>510</v>
      </c>
      <c r="D54" s="85"/>
      <c r="E54" s="85"/>
      <c r="F54" s="85"/>
      <c r="G54" s="85"/>
      <c r="H54" s="85"/>
      <c r="I54" s="85"/>
    </row>
    <row r="55" customFormat="false" ht="19.5" hidden="false" customHeight="true" outlineLevel="0" collapsed="false">
      <c r="A55" s="18" t="s">
        <v>511</v>
      </c>
      <c r="B55" s="10" t="n">
        <v>2</v>
      </c>
      <c r="C55" s="85" t="s">
        <v>512</v>
      </c>
      <c r="D55" s="85"/>
      <c r="E55" s="85"/>
      <c r="F55" s="85"/>
      <c r="G55" s="85"/>
      <c r="H55" s="85"/>
      <c r="I55" s="85"/>
    </row>
    <row r="56" customFormat="false" ht="19.5" hidden="false" customHeight="true" outlineLevel="0" collapsed="false">
      <c r="A56" s="18" t="s">
        <v>513</v>
      </c>
      <c r="B56" s="134" t="n">
        <v>15000</v>
      </c>
      <c r="C56" s="85" t="s">
        <v>514</v>
      </c>
      <c r="D56" s="85"/>
      <c r="E56" s="85"/>
      <c r="F56" s="85"/>
      <c r="G56" s="85"/>
      <c r="H56" s="85"/>
      <c r="I56" s="85"/>
    </row>
    <row r="57" customFormat="false" ht="3.75" hidden="false" customHeight="true" outlineLevel="0" collapsed="false"/>
    <row r="58" customFormat="false" ht="18" hidden="false" customHeight="true" outlineLevel="0" collapsed="false">
      <c r="A58" s="18" t="s">
        <v>515</v>
      </c>
      <c r="B58" s="138" t="n">
        <f aca="false">B33*(B52/100)</f>
        <v>96</v>
      </c>
      <c r="C58" s="85"/>
      <c r="D58" s="85"/>
      <c r="E58" s="85"/>
      <c r="F58" s="85"/>
      <c r="G58" s="85"/>
      <c r="H58" s="85"/>
      <c r="I58" s="85"/>
    </row>
    <row r="59" customFormat="false" ht="18" hidden="false" customHeight="true" outlineLevel="0" collapsed="false">
      <c r="A59" s="18" t="s">
        <v>516</v>
      </c>
      <c r="B59" s="138" t="n">
        <f aca="false">B58*(B53/100)</f>
        <v>19.2</v>
      </c>
      <c r="C59" s="85"/>
      <c r="D59" s="85"/>
      <c r="E59" s="85"/>
      <c r="F59" s="85"/>
      <c r="G59" s="85"/>
      <c r="H59" s="85"/>
      <c r="I59" s="85"/>
    </row>
    <row r="60" customFormat="false" ht="18" hidden="false" customHeight="true" outlineLevel="0" collapsed="false">
      <c r="A60" s="114" t="s">
        <v>517</v>
      </c>
      <c r="B60" s="140" t="n">
        <f aca="false">B59*B54*B7</f>
        <v>1248000</v>
      </c>
      <c r="C60" s="85" t="s">
        <v>518</v>
      </c>
      <c r="D60" s="85"/>
      <c r="E60" s="85"/>
      <c r="F60" s="85"/>
      <c r="G60" s="85"/>
      <c r="H60" s="85"/>
      <c r="I60" s="85"/>
    </row>
    <row r="61" customFormat="false" ht="18" hidden="false" customHeight="true" outlineLevel="0" collapsed="false">
      <c r="A61" s="114" t="s">
        <v>519</v>
      </c>
      <c r="B61" s="140" t="n">
        <f aca="false">B55*B56</f>
        <v>30000</v>
      </c>
      <c r="C61" s="85" t="s">
        <v>520</v>
      </c>
      <c r="D61" s="85"/>
      <c r="E61" s="85"/>
      <c r="F61" s="85"/>
      <c r="G61" s="85"/>
      <c r="H61" s="85"/>
      <c r="I61" s="85"/>
    </row>
    <row r="62" customFormat="false" ht="18" hidden="false" customHeight="true" outlineLevel="0" collapsed="false">
      <c r="A62" s="114" t="s">
        <v>521</v>
      </c>
      <c r="B62" s="140" t="n">
        <f aca="false">B60+B61</f>
        <v>1278000</v>
      </c>
      <c r="C62" s="85"/>
      <c r="D62" s="85"/>
      <c r="E62" s="85"/>
      <c r="F62" s="85"/>
      <c r="G62" s="85"/>
      <c r="H62" s="85"/>
      <c r="I62" s="85"/>
    </row>
    <row r="63" customFormat="false" ht="7.5" hidden="false" customHeight="true" outlineLevel="0" collapsed="false"/>
    <row r="64" customFormat="false" ht="19.5" hidden="false" customHeight="true" outlineLevel="0" collapsed="false">
      <c r="A64" s="137" t="s">
        <v>522</v>
      </c>
      <c r="B64" s="137"/>
      <c r="C64" s="137"/>
      <c r="D64" s="137"/>
      <c r="E64" s="137"/>
      <c r="F64" s="137"/>
      <c r="G64" s="137"/>
      <c r="H64" s="137"/>
      <c r="I64" s="137"/>
    </row>
    <row r="65" customFormat="false" ht="21.75" hidden="false" customHeight="true" outlineLevel="0" collapsed="false">
      <c r="A65" s="18" t="s">
        <v>523</v>
      </c>
      <c r="B65" s="12" t="n">
        <v>15</v>
      </c>
      <c r="C65" s="85" t="s">
        <v>524</v>
      </c>
      <c r="D65" s="85"/>
      <c r="E65" s="85"/>
      <c r="F65" s="85"/>
      <c r="G65" s="85"/>
      <c r="H65" s="85"/>
      <c r="I65" s="85"/>
    </row>
    <row r="66" customFormat="false" ht="21.75" hidden="false" customHeight="true" outlineLevel="0" collapsed="false">
      <c r="A66" s="18" t="s">
        <v>525</v>
      </c>
      <c r="B66" s="134" t="n">
        <v>500000</v>
      </c>
      <c r="C66" s="85" t="s">
        <v>526</v>
      </c>
      <c r="D66" s="85"/>
      <c r="E66" s="85"/>
      <c r="F66" s="85"/>
      <c r="G66" s="85"/>
      <c r="H66" s="85"/>
      <c r="I66" s="85"/>
    </row>
    <row r="67" customFormat="false" ht="21.75" hidden="false" customHeight="true" outlineLevel="0" collapsed="false">
      <c r="A67" s="18" t="s">
        <v>527</v>
      </c>
      <c r="B67" s="134" t="n">
        <v>150000</v>
      </c>
      <c r="C67" s="85" t="s">
        <v>528</v>
      </c>
      <c r="D67" s="85"/>
      <c r="E67" s="85"/>
      <c r="F67" s="85"/>
      <c r="G67" s="85"/>
      <c r="H67" s="85"/>
      <c r="I67" s="85"/>
    </row>
    <row r="68" customFormat="false" ht="21.75" hidden="false" customHeight="true" outlineLevel="0" collapsed="false">
      <c r="A68" s="18" t="s">
        <v>529</v>
      </c>
      <c r="B68" s="12" t="n">
        <v>70</v>
      </c>
      <c r="C68" s="85" t="s">
        <v>530</v>
      </c>
      <c r="D68" s="85"/>
      <c r="E68" s="85"/>
      <c r="F68" s="85"/>
      <c r="G68" s="85"/>
      <c r="H68" s="85"/>
      <c r="I68" s="85"/>
    </row>
    <row r="69" customFormat="false" ht="21.75" hidden="false" customHeight="true" outlineLevel="0" collapsed="false">
      <c r="A69" s="18" t="s">
        <v>531</v>
      </c>
      <c r="B69" s="143" t="n">
        <f aca="false">'Commercialisation Economics'!B34*12</f>
        <v>16450756.3008</v>
      </c>
      <c r="C69" s="85" t="s">
        <v>532</v>
      </c>
      <c r="D69" s="85"/>
      <c r="E69" s="85"/>
      <c r="F69" s="85"/>
      <c r="G69" s="85"/>
      <c r="H69" s="85"/>
      <c r="I69" s="85"/>
    </row>
    <row r="70" customFormat="false" ht="3.75" hidden="false" customHeight="true" outlineLevel="0" collapsed="false"/>
    <row r="71" customFormat="false" ht="19.5" hidden="false" customHeight="true" outlineLevel="0" collapsed="false">
      <c r="A71" s="114" t="s">
        <v>533</v>
      </c>
      <c r="B71" s="140" t="n">
        <f aca="false">(B65/100)*(B66+B67)</f>
        <v>97500</v>
      </c>
      <c r="C71" s="85" t="s">
        <v>534</v>
      </c>
      <c r="D71" s="85"/>
      <c r="E71" s="85"/>
      <c r="F71" s="85"/>
      <c r="G71" s="85"/>
      <c r="H71" s="85"/>
      <c r="I71" s="85"/>
    </row>
    <row r="72" customFormat="false" ht="19.5" hidden="false" customHeight="true" outlineLevel="0" collapsed="false">
      <c r="A72" s="18" t="s">
        <v>535</v>
      </c>
      <c r="B72" s="144" t="n">
        <f aca="false">(B65/100)*(1-B68/100)*(B66+B67)</f>
        <v>29250</v>
      </c>
      <c r="C72" s="85" t="s">
        <v>536</v>
      </c>
      <c r="D72" s="85"/>
      <c r="E72" s="85"/>
      <c r="F72" s="85"/>
      <c r="G72" s="85"/>
      <c r="H72" s="85"/>
      <c r="I72" s="85"/>
    </row>
    <row r="73" customFormat="false" ht="19.5" hidden="false" customHeight="true" outlineLevel="0" collapsed="false">
      <c r="A73" s="114" t="s">
        <v>537</v>
      </c>
      <c r="B73" s="145" t="n">
        <f aca="false">B71-B72</f>
        <v>68250</v>
      </c>
      <c r="C73" s="85" t="s">
        <v>538</v>
      </c>
      <c r="D73" s="85"/>
      <c r="E73" s="85"/>
      <c r="F73" s="85"/>
      <c r="G73" s="85"/>
      <c r="H73" s="85"/>
      <c r="I73" s="85"/>
    </row>
    <row r="74" customFormat="false" ht="19.5" hidden="false" customHeight="true" outlineLevel="0" collapsed="false">
      <c r="A74" s="18" t="s">
        <v>539</v>
      </c>
      <c r="B74" s="144" t="n">
        <f aca="false">B69</f>
        <v>16450756.3008</v>
      </c>
      <c r="C74" s="85" t="s">
        <v>540</v>
      </c>
      <c r="D74" s="85"/>
      <c r="E74" s="85"/>
      <c r="F74" s="85"/>
      <c r="G74" s="85"/>
      <c r="H74" s="85"/>
      <c r="I74" s="85"/>
    </row>
    <row r="75" customFormat="false" ht="19.5" hidden="false" customHeight="true" outlineLevel="0" collapsed="false">
      <c r="A75" s="114" t="s">
        <v>541</v>
      </c>
      <c r="B75" s="146" t="n">
        <f aca="false">IF(B74=0,0,B73/B74)</f>
        <v>0.00414874542860264</v>
      </c>
      <c r="C75" s="85" t="s">
        <v>542</v>
      </c>
      <c r="D75" s="85"/>
      <c r="E75" s="85"/>
      <c r="F75" s="85"/>
      <c r="G75" s="85"/>
      <c r="H75" s="85"/>
      <c r="I75" s="85"/>
    </row>
    <row r="76" customFormat="false" ht="7.5" hidden="false" customHeight="true" outlineLevel="0" collapsed="false"/>
    <row r="77" customFormat="false" ht="19.5" hidden="false" customHeight="true" outlineLevel="0" collapsed="false">
      <c r="A77" s="147" t="s">
        <v>543</v>
      </c>
      <c r="B77" s="147"/>
      <c r="C77" s="147"/>
      <c r="D77" s="147"/>
      <c r="E77" s="147"/>
      <c r="F77" s="147"/>
      <c r="G77" s="147"/>
      <c r="H77" s="147"/>
      <c r="I77" s="147"/>
    </row>
    <row r="78" customFormat="false" ht="19.5" hidden="false" customHeight="true" outlineLevel="0" collapsed="false">
      <c r="A78" s="41" t="s">
        <v>544</v>
      </c>
      <c r="B78" s="41" t="s">
        <v>545</v>
      </c>
      <c r="C78" s="41" t="s">
        <v>546</v>
      </c>
      <c r="D78" s="42" t="s">
        <v>547</v>
      </c>
      <c r="E78" s="42"/>
      <c r="F78" s="42"/>
      <c r="G78" s="42"/>
      <c r="H78" s="42"/>
      <c r="I78" s="42"/>
    </row>
    <row r="79" customFormat="false" ht="19.5" hidden="false" customHeight="true" outlineLevel="0" collapsed="false">
      <c r="A79" s="18" t="s">
        <v>548</v>
      </c>
      <c r="B79" s="142" t="n">
        <f aca="false">B25</f>
        <v>723937.5</v>
      </c>
      <c r="C79" s="46" t="s">
        <v>549</v>
      </c>
      <c r="D79" s="85" t="s">
        <v>550</v>
      </c>
      <c r="E79" s="85"/>
      <c r="F79" s="85"/>
      <c r="G79" s="85"/>
      <c r="H79" s="85"/>
      <c r="I79" s="85"/>
    </row>
    <row r="80" customFormat="false" ht="19.5" hidden="false" customHeight="true" outlineLevel="0" collapsed="false">
      <c r="A80" s="18" t="s">
        <v>551</v>
      </c>
      <c r="B80" s="142" t="n">
        <f aca="false">B37</f>
        <v>549666</v>
      </c>
      <c r="C80" s="46" t="s">
        <v>549</v>
      </c>
      <c r="D80" s="85" t="s">
        <v>552</v>
      </c>
      <c r="E80" s="85"/>
      <c r="F80" s="85"/>
      <c r="G80" s="85"/>
      <c r="H80" s="85"/>
      <c r="I80" s="85"/>
    </row>
    <row r="81" customFormat="false" ht="19.5" hidden="false" customHeight="true" outlineLevel="0" collapsed="false">
      <c r="A81" s="18" t="s">
        <v>553</v>
      </c>
      <c r="B81" s="142" t="n">
        <f aca="false">B38</f>
        <v>2808000</v>
      </c>
      <c r="C81" s="48" t="s">
        <v>554</v>
      </c>
      <c r="D81" s="85" t="s">
        <v>555</v>
      </c>
      <c r="E81" s="85"/>
      <c r="F81" s="85"/>
      <c r="G81" s="85"/>
      <c r="H81" s="85"/>
      <c r="I81" s="85"/>
    </row>
    <row r="82" customFormat="false" ht="19.5" hidden="false" customHeight="true" outlineLevel="0" collapsed="false">
      <c r="A82" s="18" t="s">
        <v>556</v>
      </c>
      <c r="B82" s="142" t="n">
        <f aca="false">B49</f>
        <v>277992</v>
      </c>
      <c r="C82" s="46" t="s">
        <v>549</v>
      </c>
      <c r="D82" s="85" t="s">
        <v>557</v>
      </c>
      <c r="E82" s="85"/>
      <c r="F82" s="85"/>
      <c r="G82" s="85"/>
      <c r="H82" s="85"/>
      <c r="I82" s="85"/>
    </row>
    <row r="83" customFormat="false" ht="19.5" hidden="false" customHeight="true" outlineLevel="0" collapsed="false">
      <c r="A83" s="18" t="s">
        <v>558</v>
      </c>
      <c r="B83" s="142" t="n">
        <f aca="false">B60</f>
        <v>1248000</v>
      </c>
      <c r="C83" s="48" t="s">
        <v>554</v>
      </c>
      <c r="D83" s="85" t="s">
        <v>559</v>
      </c>
      <c r="E83" s="85"/>
      <c r="F83" s="85"/>
      <c r="G83" s="85"/>
      <c r="H83" s="85"/>
      <c r="I83" s="85"/>
    </row>
    <row r="84" customFormat="false" ht="19.5" hidden="false" customHeight="true" outlineLevel="0" collapsed="false">
      <c r="A84" s="18" t="s">
        <v>560</v>
      </c>
      <c r="B84" s="142" t="n">
        <f aca="false">B61</f>
        <v>30000</v>
      </c>
      <c r="C84" s="48" t="s">
        <v>554</v>
      </c>
      <c r="D84" s="85" t="s">
        <v>561</v>
      </c>
      <c r="E84" s="85"/>
      <c r="F84" s="85"/>
      <c r="G84" s="85"/>
      <c r="H84" s="85"/>
      <c r="I84" s="85"/>
    </row>
    <row r="85" customFormat="false" ht="19.5" hidden="false" customHeight="true" outlineLevel="0" collapsed="false">
      <c r="A85" s="18" t="s">
        <v>562</v>
      </c>
      <c r="B85" s="142" t="n">
        <f aca="false">B73</f>
        <v>68250</v>
      </c>
      <c r="C85" s="44" t="s">
        <v>563</v>
      </c>
      <c r="D85" s="85" t="s">
        <v>564</v>
      </c>
      <c r="E85" s="85"/>
      <c r="F85" s="85"/>
      <c r="G85" s="85"/>
      <c r="H85" s="85"/>
      <c r="I85" s="85"/>
    </row>
    <row r="86" customFormat="false" ht="3.75" hidden="false" customHeight="true" outlineLevel="0" collapsed="false"/>
    <row r="87" customFormat="false" ht="24" hidden="false" customHeight="true" outlineLevel="0" collapsed="false">
      <c r="A87" s="148" t="s">
        <v>565</v>
      </c>
      <c r="B87" s="149" t="n">
        <f aca="false">SUM(B79:B85)</f>
        <v>5705845.5</v>
      </c>
    </row>
    <row r="88" customFormat="false" ht="18" hidden="false" customHeight="true" outlineLevel="0" collapsed="false">
      <c r="A88" s="150" t="s">
        <v>566</v>
      </c>
      <c r="B88" s="142" t="n">
        <f aca="false">B79+B80+B82</f>
        <v>1551595.5</v>
      </c>
    </row>
    <row r="89" customFormat="false" ht="3.75" hidden="false" customHeight="true" outlineLevel="0" collapsed="false"/>
    <row r="90" customFormat="false" ht="19.5" hidden="false" customHeight="true" outlineLevel="0" collapsed="false">
      <c r="A90" s="8" t="s">
        <v>567</v>
      </c>
      <c r="B90" s="8"/>
      <c r="C90" s="8"/>
      <c r="D90" s="8"/>
      <c r="E90" s="8"/>
      <c r="F90" s="8"/>
      <c r="G90" s="8"/>
      <c r="H90" s="8"/>
      <c r="I90" s="8"/>
    </row>
    <row r="91" customFormat="false" ht="19.5" hidden="false" customHeight="true" outlineLevel="0" collapsed="false">
      <c r="A91" s="41" t="s">
        <v>568</v>
      </c>
      <c r="B91" s="41" t="s">
        <v>545</v>
      </c>
      <c r="C91" s="41" t="s">
        <v>569</v>
      </c>
      <c r="D91" s="42" t="s">
        <v>20</v>
      </c>
      <c r="E91" s="42"/>
      <c r="F91" s="42"/>
      <c r="G91" s="42"/>
      <c r="H91" s="42"/>
      <c r="I91" s="42"/>
    </row>
    <row r="92" customFormat="false" ht="19.5" hidden="false" customHeight="true" outlineLevel="0" collapsed="false">
      <c r="A92" s="18" t="s">
        <v>570</v>
      </c>
      <c r="B92" s="144" t="n">
        <f aca="false">B69*12</f>
        <v>197409075.6096</v>
      </c>
      <c r="C92" s="151" t="n">
        <f aca="false">B69*12/MAX(1,B33*B7)</f>
        <v>31636.0698092308</v>
      </c>
      <c r="D92" s="85" t="s">
        <v>571</v>
      </c>
      <c r="E92" s="85"/>
      <c r="F92" s="85"/>
      <c r="G92" s="85"/>
      <c r="H92" s="85"/>
      <c r="I92" s="85"/>
    </row>
    <row r="93" customFormat="false" ht="19.5" hidden="false" customHeight="true" outlineLevel="0" collapsed="false">
      <c r="A93" s="18" t="s">
        <v>572</v>
      </c>
      <c r="B93" s="144" t="n">
        <f aca="false">'Commercialisation Economics'!B35</f>
        <v>156000</v>
      </c>
      <c r="C93" s="144" t="n">
        <f aca="false">'Commercialisation Economics'!B35/(B33*B7)</f>
        <v>25</v>
      </c>
      <c r="D93" s="85" t="s">
        <v>573</v>
      </c>
      <c r="E93" s="85"/>
      <c r="F93" s="85"/>
      <c r="G93" s="85"/>
      <c r="H93" s="85"/>
      <c r="I93" s="85"/>
    </row>
    <row r="94" customFormat="false" ht="19.5" hidden="false" customHeight="true" outlineLevel="0" collapsed="false">
      <c r="A94" s="114" t="s">
        <v>574</v>
      </c>
      <c r="B94" s="152" t="n">
        <f aca="false">B92+B93</f>
        <v>197565075.6096</v>
      </c>
      <c r="C94" s="152" t="n">
        <f aca="false">C92+C93</f>
        <v>31661.0698092308</v>
      </c>
      <c r="D94" s="85" t="s">
        <v>575</v>
      </c>
      <c r="E94" s="85"/>
      <c r="F94" s="85"/>
      <c r="G94" s="85"/>
      <c r="H94" s="85"/>
      <c r="I94" s="85"/>
    </row>
    <row r="95" customFormat="false" ht="19.5" hidden="false" customHeight="true" outlineLevel="0" collapsed="false">
      <c r="A95" s="114" t="s">
        <v>576</v>
      </c>
      <c r="B95" s="140" t="n">
        <f aca="false">SUM(B79:B85)</f>
        <v>5705845.5</v>
      </c>
      <c r="C95" s="140" t="n">
        <f aca="false">SUM(B79:B85)/MAX(1,B33*B7)</f>
        <v>914.398317307692</v>
      </c>
      <c r="D95" s="85" t="s">
        <v>577</v>
      </c>
      <c r="E95" s="85"/>
      <c r="F95" s="85"/>
      <c r="G95" s="85"/>
      <c r="H95" s="85"/>
      <c r="I95" s="85"/>
    </row>
    <row r="96" customFormat="false" ht="19.5" hidden="false" customHeight="true" outlineLevel="0" collapsed="false">
      <c r="A96" s="114" t="s">
        <v>578</v>
      </c>
      <c r="B96" s="145" t="n">
        <f aca="false">B95-B94</f>
        <v>-191859230.1096</v>
      </c>
      <c r="C96" s="145" t="n">
        <f aca="false">C95-C94</f>
        <v>-30746.6714919231</v>
      </c>
      <c r="D96" s="85" t="s">
        <v>579</v>
      </c>
      <c r="E96" s="85"/>
      <c r="F96" s="85"/>
      <c r="G96" s="85"/>
      <c r="H96" s="85"/>
      <c r="I96" s="85"/>
    </row>
    <row r="97" customFormat="false" ht="19.5" hidden="false" customHeight="true" outlineLevel="0" collapsed="false">
      <c r="A97" s="114" t="s">
        <v>580</v>
      </c>
      <c r="B97" s="145" t="n">
        <f aca="false">IF(B94=0,0,B95/B94)</f>
        <v>0.0288808408186226</v>
      </c>
      <c r="D97" s="85" t="s">
        <v>581</v>
      </c>
      <c r="E97" s="85"/>
      <c r="F97" s="85"/>
      <c r="G97" s="85"/>
      <c r="H97" s="85"/>
      <c r="I97" s="85"/>
    </row>
    <row r="98" customFormat="false" ht="7.5" hidden="false" customHeight="true" outlineLevel="0" collapsed="false"/>
    <row r="99" customFormat="false" ht="63.75" hidden="false" customHeight="true" outlineLevel="0" collapsed="false">
      <c r="A99" s="153" t="s">
        <v>582</v>
      </c>
      <c r="B99" s="153"/>
      <c r="C99" s="153"/>
      <c r="D99" s="153"/>
      <c r="E99" s="153"/>
      <c r="F99" s="153"/>
      <c r="G99" s="153"/>
      <c r="H99" s="153"/>
      <c r="I99" s="153"/>
    </row>
    <row r="100" customFormat="false" ht="7.5" hidden="false" customHeight="true" outlineLevel="0" collapsed="false"/>
    <row r="101" customFormat="false" ht="39.75" hidden="false" customHeight="true" outlineLevel="0" collapsed="false">
      <c r="A101" s="51" t="s">
        <v>583</v>
      </c>
      <c r="B101" s="51"/>
      <c r="C101" s="51"/>
      <c r="D101" s="51"/>
      <c r="E101" s="51"/>
      <c r="F101" s="51"/>
      <c r="G101" s="51"/>
      <c r="H101" s="51"/>
      <c r="I101" s="51"/>
    </row>
  </sheetData>
  <mergeCells count="83">
    <mergeCell ref="A1:I1"/>
    <mergeCell ref="A2:I2"/>
    <mergeCell ref="A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A17:I17"/>
    <mergeCell ref="C18:I18"/>
    <mergeCell ref="C19:I19"/>
    <mergeCell ref="C20:I20"/>
    <mergeCell ref="C22:I22"/>
    <mergeCell ref="C23:I23"/>
    <mergeCell ref="C24:I24"/>
    <mergeCell ref="C25:I25"/>
    <mergeCell ref="A27:I27"/>
    <mergeCell ref="C28:I28"/>
    <mergeCell ref="C29:I29"/>
    <mergeCell ref="C30:I30"/>
    <mergeCell ref="C31:I31"/>
    <mergeCell ref="C33:I33"/>
    <mergeCell ref="C34:I34"/>
    <mergeCell ref="C35:I35"/>
    <mergeCell ref="C36:I36"/>
    <mergeCell ref="C37:I37"/>
    <mergeCell ref="C38:I38"/>
    <mergeCell ref="C39:I39"/>
    <mergeCell ref="A41:I41"/>
    <mergeCell ref="C42:I42"/>
    <mergeCell ref="C43:I43"/>
    <mergeCell ref="C44:I44"/>
    <mergeCell ref="C45:I45"/>
    <mergeCell ref="C47:I47"/>
    <mergeCell ref="C48:I48"/>
    <mergeCell ref="C49:I49"/>
    <mergeCell ref="A51:I51"/>
    <mergeCell ref="C52:I52"/>
    <mergeCell ref="C53:I53"/>
    <mergeCell ref="C54:I54"/>
    <mergeCell ref="C55:I55"/>
    <mergeCell ref="C56:I56"/>
    <mergeCell ref="C58:I58"/>
    <mergeCell ref="C59:I59"/>
    <mergeCell ref="C60:I60"/>
    <mergeCell ref="C61:I61"/>
    <mergeCell ref="C62:I62"/>
    <mergeCell ref="A64:I64"/>
    <mergeCell ref="C65:I65"/>
    <mergeCell ref="C66:I66"/>
    <mergeCell ref="C67:I67"/>
    <mergeCell ref="C68:I68"/>
    <mergeCell ref="C69:I69"/>
    <mergeCell ref="C71:I71"/>
    <mergeCell ref="C72:I72"/>
    <mergeCell ref="C73:I73"/>
    <mergeCell ref="C74:I74"/>
    <mergeCell ref="C75:I75"/>
    <mergeCell ref="A77:I77"/>
    <mergeCell ref="D78:I78"/>
    <mergeCell ref="D79:I79"/>
    <mergeCell ref="D80:I80"/>
    <mergeCell ref="D81:I81"/>
    <mergeCell ref="D82:I82"/>
    <mergeCell ref="D83:I83"/>
    <mergeCell ref="D84:I84"/>
    <mergeCell ref="D85:I85"/>
    <mergeCell ref="A90:I90"/>
    <mergeCell ref="D91:I91"/>
    <mergeCell ref="D92:I92"/>
    <mergeCell ref="D93:I93"/>
    <mergeCell ref="D94:I94"/>
    <mergeCell ref="D95:I95"/>
    <mergeCell ref="D96:I96"/>
    <mergeCell ref="D97:I97"/>
    <mergeCell ref="A99:I99"/>
    <mergeCell ref="A101:I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2026-06-06T23:20:47Z</dcterms:created>
  <dc:creator>openpyxl</dc:creator>
  <dc:description/>
  <dc:language>en-US</dc:language>
  <cp:lastModifiedBy/>
  <dcterms:modified xsi:type="dcterms:W3CDTF">2026-06-07T00:18:15Z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